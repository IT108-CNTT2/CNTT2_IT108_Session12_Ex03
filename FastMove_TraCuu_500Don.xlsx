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140d69fc9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" sheetId="1" r:id="R7f1ffb1a3be04be6"/>
    <x:sheet xmlns:r="http://schemas.openxmlformats.org/officeDocument/2006/relationships" name="VanDon" sheetId="2" r:id="R63c85c17151b419e"/>
    <x:sheet xmlns:r="http://schemas.openxmlformats.org/officeDocument/2006/relationships" name="GiaCuoc" sheetId="3" r:id="R6b9f661f545648ab"/>
    <x:sheet xmlns:r="http://schemas.openxmlformats.org/officeDocument/2006/relationships" name="KiemThu" sheetId="4" r:id="R071ff86467f6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@"/>
    <x:numFmt numFmtId="202" formatCode="dd/mm/yyyy hh:mm"/>
    <x:numFmt numFmtId="203" formatCode="0%"/>
    <x:numFmt numFmtId="204" formatCode="0.0%"/>
  </x:numFmts>
  <x:fonts count="8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E66B26"/>
      <x:name val="Carlito"/>
    </x:font>
    <x:font>
      <x:sz val="11"/>
      <x:color rgb="FF1565C0"/>
      <x:name val="Arial"/>
    </x:font>
    <x:font>
      <x:b/>
      <x:sz val="19"/>
      <x:color rgb="FF123D63"/>
      <x:name val="Arial"/>
    </x:font>
    <x:font>
      <x:b/>
      <x:sz val="11"/>
      <x:color rgb="FF1565C0"/>
      <x:name val="Carlito"/>
    </x:font>
    <x:font>
      <x:b/>
      <x:sz val="11"/>
      <x:color rgb="FF123D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D63"/>
      </x:patternFill>
    </x:fill>
    <x:fill>
      <x:patternFill patternType="solid">
        <x:fgColor rgb="FFEDF4F8"/>
      </x:patternFill>
    </x:fill>
    <x:fill>
      <x:patternFill patternType="solid">
        <x:fgColor rgb="FFFFF0E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204" fontId="1" fillId="0" borderId="0" xfId="0" applyNumberFormat="1" applyFont="1" applyFill="1" applyBorder="1"/>
    <x:xf numFmtId="204" fontId="7" fillId="3" borderId="0" xfId="0" applyNumberFormat="1" applyFont="1" applyFill="1" applyBorder="1"/>
    <x:xf numFmtId="0" fontId="1" fillId="4" borderId="0" xfId="0" applyNumberFormat="1" applyFont="1" applyFill="1" applyBorder="1"/>
    <x:xf numFmtId="204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B54C0D"/>
      </x:font>
      <x:fill>
        <x:patternFill patternType="solid">
          <x:bgColor rgb="FFFFF0E4"/>
        </x:patternFill>
      </x:fill>
    </x:dxf>
    <x:dxf>
      <x:font>
        <x:color rgb="FFB54C0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a69674f8c47da" /><Relationship Type="http://schemas.openxmlformats.org/officeDocument/2006/relationships/theme" Target="/xl/theme/theme1.xml" Id="Re902f01d6cfd4984" /><Relationship Type="http://schemas.openxmlformats.org/officeDocument/2006/relationships/sharedStrings" Target="/xl/sharedStrings.xml" Id="R7a91f8edfdc24b1a" /><Relationship Type="http://schemas.openxmlformats.org/officeDocument/2006/relationships/worksheet" Target="/xl/worksheets/sheet1.xml" Id="R7f1ffb1a3be04be6" /><Relationship Type="http://schemas.openxmlformats.org/officeDocument/2006/relationships/worksheet" Target="/xl/worksheets/sheet2.xml" Id="R63c85c17151b419e" /><Relationship Type="http://schemas.openxmlformats.org/officeDocument/2006/relationships/worksheet" Target="/xl/worksheets/sheet3.xml" Id="R6b9f661f545648ab" /><Relationship Type="http://schemas.openxmlformats.org/officeDocument/2006/relationships/worksheet" Target="/xl/worksheets/sheet4.xml" Id="R071ff86467f64fa2" /></Relationships>
</file>

<file path=xl/tables/table1.xml><?xml version="1.0" encoding="utf-8"?>
<x:table xmlns:x="http://schemas.openxmlformats.org/spreadsheetml/2006/main" id="2" name="DanhSachVanDon" displayName="DanhSachVanDon" ref="A1:G501" headerRowCount="1" totalsRowCount="0" totalsRowShown="0">
  <x:autoFilter ref="A1:G501"/>
  <x:tableColumns count="7">
    <x:tableColumn id="1" name="Mã vận đơn gốc"/>
    <x:tableColumn id="2" name="Mã đã làm sạch"/>
    <x:tableColumn id="3" name="Giá cước VND"/>
    <x:tableColumn id="4" name="Tuyến"/>
    <x:tableColumn id="5" name="Hạn giao minh họa"/>
    <x:tableColumn id="6" name="Giao thực tế minh họa"/>
    <x:tableColumn id="7" name="Kết qu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angGia" displayName="BangGia" ref="A1:C501" headerRowCount="1" totalsRowCount="0" totalsRowShown="0">
  <x:autoFilter ref="A1:C501"/>
  <x:tableColumns count="3">
    <x:tableColumn id="1" name="Mã vận đơn"/>
    <x:tableColumn id="2" name="Giá cước VND"/>
    <x:tableColumn id="3" name="Tuyế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KiemThu" displayName="CaKiemThu" ref="A1:G11" headerRowCount="1" totalsRowCount="0" totalsRowShown="0">
  <x:autoFilter ref="A1:G11"/>
  <x:tableColumns count="7">
    <x:tableColumn id="1" name="Mã thử gốc"/>
    <x:tableColumn id="2" name="Mã sau làm sạch"/>
    <x:tableColumn id="3" name="Tra sau làm sạch"/>
    <x:tableColumn id="4" name="Kết quả kỳ vọng"/>
    <x:tableColumn id="5" name="Đánh giá"/>
    <x:tableColumn id="6" name="Tình huống"/>
    <x:tableColumn id="7" name="Tra trực tiế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79c13c711347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39b2b7f5cf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68f9c6439a42cf" /></Relationships>
</file>

<file path=xl/worksheets/sheet1.xml><?xml version="1.0" encoding="utf-8"?>
<x:worksheet xmlns:x="http://schemas.openxmlformats.org/spreadsheetml/2006/main">
  <x:sheetPr>
    <x:tabColor rgb="FF123D6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7" customHeight="1">
      <x:c r="A1" s="16" t="str">
        <x:v>FastMove  Báo cáo 500 đơn minh họa</x:v>
      </x:c>
    </x:row>
    <x:row r="2" ht="27" customHeight="1">
      <x:c r="A2" t="str">
        <x:v>Dữ liệu giả lập dùng để thực hành. Toàn bộ 500 đơn đã giao.</x:v>
      </x:c>
    </x:row>
    <x:row r="3" ht="27" customHeight="1"/>
    <x:row r="4" ht="27" customHeight="1">
      <x:c r="A4" t="str">
        <x:v>Mục tiêu đúng hẹn đề xuất</x:v>
      </x:c>
      <x:c r="B4" s="18" t="n">
        <x:v>0.95</x:v>
      </x:c>
    </x:row>
    <x:row r="5" ht="27" customHeight="1"/>
    <x:row r="6" ht="43" customHeight="1">
      <x:c r="A6" s="5" t="str">
        <x:v>Tuyến</x:v>
      </x:c>
      <x:c r="B6" s="5" t="str">
        <x:v>Đã giao</x:v>
      </x:c>
      <x:c r="C6" s="5" t="str">
        <x:v>Đúng hẹn</x:v>
      </x:c>
      <x:c r="D6" s="5" t="str">
        <x:v>Trễ hẹn</x:v>
      </x:c>
      <x:c r="E6" s="5" t="str">
        <x:v>Tỷ lệ đúng hẹn</x:v>
      </x:c>
      <x:c r="F6" s="5" t="str">
        <x:v>Chênh lệch tỷ lệ</x:v>
      </x:c>
      <x:c r="G6" s="5" t="str">
        <x:v>Cần kiểm tra cước</x:v>
      </x:c>
    </x:row>
    <x:row r="7" ht="27" customHeight="1">
      <x:c r="A7" s="1" t="str">
        <x:v>Nội thành</x:v>
      </x:c>
      <x:c r="B7" s="1" t="n">
        <x:f>COUNTIFS('VanDon'!$D$2:$D$501,A7)</x:f>
        <x:v>125</x:v>
      </x:c>
      <x:c r="C7" s="1" t="n">
        <x:f>COUNTIFS('VanDon'!$D$2:$D$501,A7,'VanDon'!$G$2:$G$501,"Đúng hẹn")</x:f>
        <x:v>120</x:v>
      </x:c>
      <x:c r="D7" s="1" t="n">
        <x:f>B7-C7</x:f>
        <x:v>5</x:v>
      </x:c>
      <x:c r="E7" s="24" t="n">
        <x:f>IF(B7=0,"Chưa có đơn",C7/B7)</x:f>
        <x:v>0.96</x:v>
      </x:c>
      <x:c r="F7" s="24" t="n">
        <x:f>E7-$B$4</x:f>
        <x:v>0.010000000000000009</x:v>
      </x:c>
      <x:c r="G7" s="1" t="n">
        <x:f>COUNTIFS('VanDon'!$D$2:$D$501,A7,'VanDon'!$C$2:$C$501,"Cần kiểm tra mã")+COUNTIFS('VanDon'!$D$2:$D$501,A7,'VanDon'!$C$2:$C$501,"Thiếu mã")</x:f>
        <x:v>0</x:v>
      </x:c>
    </x:row>
    <x:row r="8" ht="27" customHeight="1">
      <x:c r="A8" s="1" t="str">
        <x:v>Ngoại thành</x:v>
      </x:c>
      <x:c r="B8" s="1" t="n">
        <x:f>COUNTIFS('VanDon'!$D$2:$D$501,A8)</x:f>
        <x:v>125</x:v>
      </x:c>
      <x:c r="C8" s="1" t="n">
        <x:f>COUNTIFS('VanDon'!$D$2:$D$501,A8,'VanDon'!$G$2:$G$501,"Đúng hẹn")</x:f>
        <x:v>115</x:v>
      </x:c>
      <x:c r="D8" s="1" t="n">
        <x:f>B8-C8</x:f>
        <x:v>10</x:v>
      </x:c>
      <x:c r="E8" s="24" t="n">
        <x:f>IF(B8=0,"Chưa có đơn",C8/B8)</x:f>
        <x:v>0.92</x:v>
      </x:c>
      <x:c r="F8" s="24" t="n">
        <x:f>E8-$B$4</x:f>
        <x:v>-0.029999999999999916</x:v>
      </x:c>
      <x:c r="G8" s="1" t="n">
        <x:f>COUNTIFS('VanDon'!$D$2:$D$501,A8,'VanDon'!$C$2:$C$501,"Cần kiểm tra mã")+COUNTIFS('VanDon'!$D$2:$D$501,A8,'VanDon'!$C$2:$C$501,"Thiếu mã")</x:f>
        <x:v>0</x:v>
      </x:c>
    </x:row>
    <x:row r="9" ht="27" customHeight="1">
      <x:c r="A9" s="1" t="str">
        <x:v>Liên tỉnh</x:v>
      </x:c>
      <x:c r="B9" s="1" t="n">
        <x:f>COUNTIFS('VanDon'!$D$2:$D$501,A9)</x:f>
        <x:v>125</x:v>
      </x:c>
      <x:c r="C9" s="1" t="n">
        <x:f>COUNTIFS('VanDon'!$D$2:$D$501,A9,'VanDon'!$G$2:$G$501,"Đúng hẹn")</x:f>
        <x:v>110</x:v>
      </x:c>
      <x:c r="D9" s="1" t="n">
        <x:f>B9-C9</x:f>
        <x:v>15</x:v>
      </x:c>
      <x:c r="E9" s="24" t="n">
        <x:f>IF(B9=0,"Chưa có đơn",C9/B9)</x:f>
        <x:v>0.88</x:v>
      </x:c>
      <x:c r="F9" s="24" t="n">
        <x:f>E9-$B$4</x:f>
        <x:v>-0.06999999999999995</x:v>
      </x:c>
      <x:c r="G9" s="1" t="n">
        <x:f>COUNTIFS('VanDon'!$D$2:$D$501,A9,'VanDon'!$C$2:$C$501,"Cần kiểm tra mã")+COUNTIFS('VanDon'!$D$2:$D$501,A9,'VanDon'!$C$2:$C$501,"Thiếu mã")</x:f>
        <x:v>0</x:v>
      </x:c>
    </x:row>
    <x:row r="10" ht="27" customHeight="1">
      <x:c r="A10" s="26" t="str">
        <x:v>Vùng xa</x:v>
      </x:c>
      <x:c r="B10" s="26" t="n">
        <x:f>COUNTIFS('VanDon'!$D$2:$D$501,A10)</x:f>
        <x:v>125</x:v>
      </x:c>
      <x:c r="C10" s="26" t="n">
        <x:f>COUNTIFS('VanDon'!$D$2:$D$501,A10,'VanDon'!$G$2:$G$501,"Đúng hẹn")</x:f>
        <x:v>100</x:v>
      </x:c>
      <x:c r="D10" s="26" t="n">
        <x:f>B10-C10</x:f>
        <x:v>25</x:v>
      </x:c>
      <x:c r="E10" s="27" t="n">
        <x:f>IF(B10=0,"Chưa có đơn",C10/B10)</x:f>
        <x:v>0.8</x:v>
      </x:c>
      <x:c r="F10" s="27" t="n">
        <x:f>E10-$B$4</x:f>
        <x:v>-0.1499999999999999</x:v>
      </x:c>
      <x:c r="G10" s="26" t="n">
        <x:f>COUNTIFS('VanDon'!$D$2:$D$501,A10,'VanDon'!$C$2:$C$501,"Cần kiểm tra mã")+COUNTIFS('VanDon'!$D$2:$D$501,A10,'VanDon'!$C$2:$C$501,"Thiếu mã")</x:f>
        <x:v>1</x:v>
      </x:c>
    </x:row>
    <x:row r="11" ht="27" customHeight="1">
      <x:c r="A11" s="23" t="str">
        <x:v>Toàn bộ</x:v>
      </x:c>
      <x:c r="B11" s="23" t="n">
        <x:f>SUM(B7:B10)</x:f>
        <x:v>500</x:v>
      </x:c>
      <x:c r="C11" s="23" t="n">
        <x:f>SUM(C7:C10)</x:f>
        <x:v>445</x:v>
      </x:c>
      <x:c r="D11" s="23" t="n">
        <x:f>SUM(D7:D10)</x:f>
        <x:v>55</x:v>
      </x:c>
      <x:c r="E11" s="25" t="n">
        <x:f>C11/B11</x:f>
        <x:v>0.89</x:v>
      </x:c>
      <x:c r="F11" s="25" t="n">
        <x:f>E11-$B$4</x:f>
        <x:v>-0.05999999999999994</x:v>
      </x:c>
      <x:c r="G11" s="23" t="n">
        <x:f>SUM(G7:G10)</x:f>
        <x:v>1</x:v>
      </x:c>
    </x:row>
    <x:row r="12" ht="27" customHeight="1"/>
    <x:row r="13" ht="27" customHeight="1"/>
    <x:row r="14" ht="27" customHeight="1">
      <x:c r="A14" t="str">
        <x:v>Công thức tỷ lệ đúng hẹn = Số đơn đúng hẹn / Tổng đơn đã giao.</x:v>
      </x:c>
    </x:row>
    <x:row r="15" ht="27" customHeight="1">
      <x:c r="A15" t="str">
        <x:v>Cột F là chênh lệch tỷ lệ, ví dụ -15% tương ứng thấp hơn 15 điểm phần trăm.</x:v>
      </x:c>
    </x:row>
    <x:row r="16" ht="27" customHeight="1"/>
    <x:row r="17" ht="27" customHeight="1">
      <x:c r="A17" t="str">
        <x:v>Vùng xa có 25 đơn trễ trên 125 đơn, đạt 80% đúng hẹn trong dữ liệu minh họa.</x:v>
      </x:c>
    </x:row>
    <x:row r="18" ht="27" customHeight="1">
      <x:c r="A18" t="str">
        <x:v>16 giờ/ngày là vấn đề theo đề bài. Cần đo trước và sau để xác nhận mức tiết kiệm.</x:v>
      </x:c>
    </x:row>
    <x:row r="19" ht="27" customHeight="1"/>
    <x:row r="20" ht="27" customHeight="1">
      <x:c r="A20" t="str">
        <x:v>Cách dùng: nhập mã ở VanDon cột A, cập nhật bảng GiaCuoc, lọc ô cảnh báo ở cột C.</x:v>
      </x:c>
    </x:row>
    <x:row r="21" ht="27" customHeight="1">
      <x:c r="A21" t="str">
        <x:v>500 dòng dữ liệu nằm ở hàng 2–501. Khi thêm dòng phải mở rộng vùng tra và KPI.</x:v>
      </x:c>
    </x:row>
    <x:row r="22" ht="27" customHeight="1"/>
    <x:row r="23" ht="27" customHeight="1">
      <x:c r="A23" t="str">
        <x:v>Nguồn dữ liệu: giả lập cho bài tập FastMove. Ngày giờ chỉ để thử so sánh đúng hẹn.</x:v>
      </x:c>
    </x:row>
  </x:sheetData>
  <x:conditionalFormatting sqref="E7:E10">
    <x:cfRule type="cellIs" dxfId="1" priority="1" operator="lessThan">
      <x:formula>$B$4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3D6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4" hidden="0" customWidth="1"/>
    <x:col min="4" max="4" width="20" hidden="0" customWidth="1"/>
    <x:col min="5" max="5" width="27" hidden="0" customWidth="1"/>
    <x:col min="6" max="6" width="27" hidden="0" customWidth="1"/>
    <x:col min="7" max="7" width="18" hidden="0" customWidth="1"/>
  </x:cols>
  <x:sheetData>
    <x:row r="1" ht="34" customHeight="1">
      <x:c r="A1" s="5" t="str">
        <x:v>Mã vận đơn gốc</x:v>
      </x:c>
      <x:c r="B1" s="5" t="str">
        <x:v>Mã đã làm sạch</x:v>
      </x:c>
      <x:c r="C1" s="5" t="str">
        <x:v>Giá cước VND</x:v>
      </x:c>
      <x:c r="D1" s="5" t="str">
        <x:v>Tuyến</x:v>
      </x:c>
      <x:c r="E1" s="5" t="str">
        <x:v>Hạn giao minh họa</x:v>
      </x:c>
      <x:c r="F1" s="5" t="str">
        <x:v>Giao thực tế minh họa</x:v>
      </x:c>
      <x:c r="G1" s="5" t="str">
        <x:v>Kết quả</x:v>
      </x:c>
    </x:row>
    <x:row r="2" ht="24" customHeight="1">
      <x:c r="A2" s="11" t="str">
        <x:v>  FM000001  </x:v>
      </x:c>
      <x:c r="B2" s="12" t="str">
        <x:f>TRIM(CLEAN(SUBSTITUTE(A2,CHAR(160)," ")))</x:f>
        <x:v>FM000001</x:v>
      </x:c>
      <x:c r="C2" s="14" t="n">
        <x:f>IF(B2="","Thiếu mã",IFERROR(VLOOKUP(B2,'GiaCuoc'!$A$2:$B$501,2,FALSE),"Cần kiểm tra mã"))</x:f>
        <x:v>20000</x:v>
      </x:c>
      <x:c r="D2" s="2" t="str">
        <x:v>Nội thành</x:v>
      </x:c>
      <x:c r="E2" s="10" t="d">
        <x:v>2026-10-27T17:00:00.000Z</x:v>
      </x:c>
      <x:c r="F2" s="10" t="d">
        <x:v>2026-10-27T16:00:00.000Z</x:v>
      </x:c>
      <x:c r="G2" s="2" t="str">
        <x:f>IF(F2&lt;=E2,"Đúng hẹn","Trễ hẹn")</x:f>
        <x:v>Đúng hẹn</x:v>
      </x:c>
    </x:row>
    <x:row r="3" ht="24" customHeight="1">
      <x:c r="A3" s="11" t="str">
        <x:v>FM000002 </x:v>
      </x:c>
      <x:c r="B3" s="12" t="str">
        <x:f>TRIM(CLEAN(SUBSTITUTE(A3,CHAR(160)," ")))</x:f>
        <x:v>FM000002</x:v>
      </x:c>
      <x:c r="C3" s="14" t="n">
        <x:f>IF(B3="","Thiếu mã",IFERROR(VLOOKUP(B3,'GiaCuoc'!$A$2:$B$501,2,FALSE),"Cần kiểm tra mã"))</x:f>
        <x:v>20000</x:v>
      </x:c>
      <x:c r="D3" s="2" t="str">
        <x:v>Nội thành</x:v>
      </x:c>
      <x:c r="E3" s="10" t="d">
        <x:v>2026-10-27T17:00:00.000Z</x:v>
      </x:c>
      <x:c r="F3" s="10" t="d">
        <x:v>2026-10-27T16:00:00.000Z</x:v>
      </x:c>
      <x:c r="G3" s="2" t="str">
        <x:f>IF(F3&lt;=E3,"Đúng hẹn","Trễ hẹn")</x:f>
        <x:v>Đúng hẹn</x:v>
      </x:c>
    </x:row>
    <x:row r="4" ht="24" customHeight="1">
      <x:c r="A4" s="11" t="str">
        <x:v>	FM000003</x:v>
      </x:c>
      <x:c r="B4" s="12" t="str">
        <x:f>TRIM(CLEAN(SUBSTITUTE(A4,CHAR(160)," ")))</x:f>
        <x:v>FM000003</x:v>
      </x:c>
      <x:c r="C4" s="14" t="n">
        <x:f>IF(B4="","Thiếu mã",IFERROR(VLOOKUP(B4,'GiaCuoc'!$A$2:$B$501,2,FALSE),"Cần kiểm tra mã"))</x:f>
        <x:v>20000</x:v>
      </x:c>
      <x:c r="D4" s="2" t="str">
        <x:v>Nội thành</x:v>
      </x:c>
      <x:c r="E4" s="10" t="d">
        <x:v>2026-10-27T17:00:00.000Z</x:v>
      </x:c>
      <x:c r="F4" s="10" t="d">
        <x:v>2026-10-27T16:00:00.000Z</x:v>
      </x:c>
      <x:c r="G4" s="2" t="str">
        <x:f>IF(F4&lt;=E4,"Đúng hẹn","Trễ hẹn")</x:f>
        <x:v>Đúng hẹn</x:v>
      </x:c>
    </x:row>
    <x:row r="5" ht="24" customHeight="1">
      <x:c r="A5" s="11" t="str">
        <x:v>FM000004</x:v>
      </x:c>
      <x:c r="B5" s="12" t="str">
        <x:f>TRIM(CLEAN(SUBSTITUTE(A5,CHAR(160)," ")))</x:f>
        <x:v>FM000004</x:v>
      </x:c>
      <x:c r="C5" s="14" t="n">
        <x:f>IF(B5="","Thiếu mã",IFERROR(VLOOKUP(B5,'GiaCuoc'!$A$2:$B$501,2,FALSE),"Cần kiểm tra mã"))</x:f>
        <x:v>20000</x:v>
      </x:c>
      <x:c r="D5" s="2" t="str">
        <x:v>Nội thành</x:v>
      </x:c>
      <x:c r="E5" s="10" t="d">
        <x:v>2026-10-27T17:00:00.000Z</x:v>
      </x:c>
      <x:c r="F5" s="10" t="d">
        <x:v>2026-10-27T16:00:00.000Z</x:v>
      </x:c>
      <x:c r="G5" s="2" t="str">
        <x:f>IF(F5&lt;=E5,"Đúng hẹn","Trễ hẹn")</x:f>
        <x:v>Đúng hẹn</x:v>
      </x:c>
    </x:row>
    <x:row r="6" ht="24" customHeight="1">
      <x:c r="A6" s="11" t="str">
        <x:v>FM000005</x:v>
      </x:c>
      <x:c r="B6" s="12" t="str">
        <x:f>TRIM(CLEAN(SUBSTITUTE(A6,CHAR(160)," ")))</x:f>
        <x:v>FM000005</x:v>
      </x:c>
      <x:c r="C6" s="14" t="n">
        <x:f>IF(B6="","Thiếu mã",IFERROR(VLOOKUP(B6,'GiaCuoc'!$A$2:$B$501,2,FALSE),"Cần kiểm tra mã"))</x:f>
        <x:v>20000</x:v>
      </x:c>
      <x:c r="D6" s="2" t="str">
        <x:v>Nội thành</x:v>
      </x:c>
      <x:c r="E6" s="10" t="d">
        <x:v>2026-10-27T17:00:00.000Z</x:v>
      </x:c>
      <x:c r="F6" s="10" t="d">
        <x:v>2026-10-27T16:00:00.000Z</x:v>
      </x:c>
      <x:c r="G6" s="2" t="str">
        <x:f>IF(F6&lt;=E6,"Đúng hẹn","Trễ hẹn")</x:f>
        <x:v>Đúng hẹn</x:v>
      </x:c>
    </x:row>
    <x:row r="7" ht="24" customHeight="1">
      <x:c r="A7" s="11" t="str">
        <x:v>FM000006</x:v>
      </x:c>
      <x:c r="B7" s="12" t="str">
        <x:f>TRIM(CLEAN(SUBSTITUTE(A7,CHAR(160)," ")))</x:f>
        <x:v>FM000006</x:v>
      </x:c>
      <x:c r="C7" s="14" t="n">
        <x:f>IF(B7="","Thiếu mã",IFERROR(VLOOKUP(B7,'GiaCuoc'!$A$2:$B$501,2,FALSE),"Cần kiểm tra mã"))</x:f>
        <x:v>20000</x:v>
      </x:c>
      <x:c r="D7" s="2" t="str">
        <x:v>Nội thành</x:v>
      </x:c>
      <x:c r="E7" s="10" t="d">
        <x:v>2026-10-27T17:00:00.000Z</x:v>
      </x:c>
      <x:c r="F7" s="10" t="d">
        <x:v>2026-10-27T16:00:00.000Z</x:v>
      </x:c>
      <x:c r="G7" s="2" t="str">
        <x:f>IF(F7&lt;=E7,"Đúng hẹn","Trễ hẹn")</x:f>
        <x:v>Đúng hẹn</x:v>
      </x:c>
    </x:row>
    <x:row r="8" ht="24" customHeight="1">
      <x:c r="A8" s="11" t="str">
        <x:v>FM000007</x:v>
      </x:c>
      <x:c r="B8" s="12" t="str">
        <x:f>TRIM(CLEAN(SUBSTITUTE(A8,CHAR(160)," ")))</x:f>
        <x:v>FM000007</x:v>
      </x:c>
      <x:c r="C8" s="14" t="n">
        <x:f>IF(B8="","Thiếu mã",IFERROR(VLOOKUP(B8,'GiaCuoc'!$A$2:$B$501,2,FALSE),"Cần kiểm tra mã"))</x:f>
        <x:v>20000</x:v>
      </x:c>
      <x:c r="D8" s="2" t="str">
        <x:v>Nội thành</x:v>
      </x:c>
      <x:c r="E8" s="10" t="d">
        <x:v>2026-10-27T17:00:00.000Z</x:v>
      </x:c>
      <x:c r="F8" s="10" t="d">
        <x:v>2026-10-27T16:00:00.000Z</x:v>
      </x:c>
      <x:c r="G8" s="2" t="str">
        <x:f>IF(F8&lt;=E8,"Đúng hẹn","Trễ hẹn")</x:f>
        <x:v>Đúng hẹn</x:v>
      </x:c>
    </x:row>
    <x:row r="9" ht="24" customHeight="1">
      <x:c r="A9" s="11" t="str">
        <x:v>FM000008</x:v>
      </x:c>
      <x:c r="B9" s="12" t="str">
        <x:f>TRIM(CLEAN(SUBSTITUTE(A9,CHAR(160)," ")))</x:f>
        <x:v>FM000008</x:v>
      </x:c>
      <x:c r="C9" s="14" t="n">
        <x:f>IF(B9="","Thiếu mã",IFERROR(VLOOKUP(B9,'GiaCuoc'!$A$2:$B$501,2,FALSE),"Cần kiểm tra mã"))</x:f>
        <x:v>20000</x:v>
      </x:c>
      <x:c r="D9" s="2" t="str">
        <x:v>Nội thành</x:v>
      </x:c>
      <x:c r="E9" s="10" t="d">
        <x:v>2026-10-27T17:00:00.000Z</x:v>
      </x:c>
      <x:c r="F9" s="10" t="d">
        <x:v>2026-10-27T16:00:00.000Z</x:v>
      </x:c>
      <x:c r="G9" s="2" t="str">
        <x:f>IF(F9&lt;=E9,"Đúng hẹn","Trễ hẹn")</x:f>
        <x:v>Đúng hẹn</x:v>
      </x:c>
    </x:row>
    <x:row r="10" ht="24" customHeight="1">
      <x:c r="A10" s="11" t="str">
        <x:v>FM000009</x:v>
      </x:c>
      <x:c r="B10" s="12" t="str">
        <x:f>TRIM(CLEAN(SUBSTITUTE(A10,CHAR(160)," ")))</x:f>
        <x:v>FM000009</x:v>
      </x:c>
      <x:c r="C10" s="14" t="n">
        <x:f>IF(B10="","Thiếu mã",IFERROR(VLOOKUP(B10,'GiaCuoc'!$A$2:$B$501,2,FALSE),"Cần kiểm tra mã"))</x:f>
        <x:v>20000</x:v>
      </x:c>
      <x:c r="D10" s="2" t="str">
        <x:v>Nội thành</x:v>
      </x:c>
      <x:c r="E10" s="10" t="d">
        <x:v>2026-10-27T17:00:00.000Z</x:v>
      </x:c>
      <x:c r="F10" s="10" t="d">
        <x:v>2026-10-27T16:00:00.000Z</x:v>
      </x:c>
      <x:c r="G10" s="2" t="str">
        <x:f>IF(F10&lt;=E10,"Đúng hẹn","Trễ hẹn")</x:f>
        <x:v>Đúng hẹn</x:v>
      </x:c>
    </x:row>
    <x:row r="11" ht="24" customHeight="1">
      <x:c r="A11" s="11" t="str">
        <x:v>FM000010</x:v>
      </x:c>
      <x:c r="B11" s="12" t="str">
        <x:f>TRIM(CLEAN(SUBSTITUTE(A11,CHAR(160)," ")))</x:f>
        <x:v>FM000010</x:v>
      </x:c>
      <x:c r="C11" s="14" t="n">
        <x:f>IF(B11="","Thiếu mã",IFERROR(VLOOKUP(B11,'GiaCuoc'!$A$2:$B$501,2,FALSE),"Cần kiểm tra mã"))</x:f>
        <x:v>20000</x:v>
      </x:c>
      <x:c r="D11" s="2" t="str">
        <x:v>Nội thành</x:v>
      </x:c>
      <x:c r="E11" s="10" t="d">
        <x:v>2026-10-27T17:00:00.000Z</x:v>
      </x:c>
      <x:c r="F11" s="10" t="d">
        <x:v>2026-10-27T16:00:00.000Z</x:v>
      </x:c>
      <x:c r="G11" s="2" t="str">
        <x:f>IF(F11&lt;=E11,"Đúng hẹn","Trễ hẹn")</x:f>
        <x:v>Đúng hẹn</x:v>
      </x:c>
    </x:row>
    <x:row r="12" ht="24" customHeight="1">
      <x:c r="A12" s="11" t="str">
        <x:v>FM000011</x:v>
      </x:c>
      <x:c r="B12" s="12" t="str">
        <x:f>TRIM(CLEAN(SUBSTITUTE(A12,CHAR(160)," ")))</x:f>
        <x:v>FM000011</x:v>
      </x:c>
      <x:c r="C12" s="14" t="n">
        <x:f>IF(B12="","Thiếu mã",IFERROR(VLOOKUP(B12,'GiaCuoc'!$A$2:$B$501,2,FALSE),"Cần kiểm tra mã"))</x:f>
        <x:v>20000</x:v>
      </x:c>
      <x:c r="D12" s="2" t="str">
        <x:v>Nội thành</x:v>
      </x:c>
      <x:c r="E12" s="10" t="d">
        <x:v>2026-10-27T17:00:00.000Z</x:v>
      </x:c>
      <x:c r="F12" s="10" t="d">
        <x:v>2026-10-27T16:00:00.000Z</x:v>
      </x:c>
      <x:c r="G12" s="2" t="str">
        <x:f>IF(F12&lt;=E12,"Đúng hẹn","Trễ hẹn")</x:f>
        <x:v>Đúng hẹn</x:v>
      </x:c>
    </x:row>
    <x:row r="13" ht="24" customHeight="1">
      <x:c r="A13" s="11" t="str">
        <x:v>FM000012</x:v>
      </x:c>
      <x:c r="B13" s="12" t="str">
        <x:f>TRIM(CLEAN(SUBSTITUTE(A13,CHAR(160)," ")))</x:f>
        <x:v>FM000012</x:v>
      </x:c>
      <x:c r="C13" s="14" t="n">
        <x:f>IF(B13="","Thiếu mã",IFERROR(VLOOKUP(B13,'GiaCuoc'!$A$2:$B$501,2,FALSE),"Cần kiểm tra mã"))</x:f>
        <x:v>20000</x:v>
      </x:c>
      <x:c r="D13" s="2" t="str">
        <x:v>Nội thành</x:v>
      </x:c>
      <x:c r="E13" s="10" t="d">
        <x:v>2026-10-27T17:00:00.000Z</x:v>
      </x:c>
      <x:c r="F13" s="10" t="d">
        <x:v>2026-10-27T16:00:00.000Z</x:v>
      </x:c>
      <x:c r="G13" s="2" t="str">
        <x:f>IF(F13&lt;=E13,"Đúng hẹn","Trễ hẹn")</x:f>
        <x:v>Đúng hẹn</x:v>
      </x:c>
    </x:row>
    <x:row r="14" ht="24" customHeight="1">
      <x:c r="A14" s="11" t="str">
        <x:v>FM000013</x:v>
      </x:c>
      <x:c r="B14" s="12" t="str">
        <x:f>TRIM(CLEAN(SUBSTITUTE(A14,CHAR(160)," ")))</x:f>
        <x:v>FM000013</x:v>
      </x:c>
      <x:c r="C14" s="14" t="n">
        <x:f>IF(B14="","Thiếu mã",IFERROR(VLOOKUP(B14,'GiaCuoc'!$A$2:$B$501,2,FALSE),"Cần kiểm tra mã"))</x:f>
        <x:v>20000</x:v>
      </x:c>
      <x:c r="D14" s="2" t="str">
        <x:v>Nội thành</x:v>
      </x:c>
      <x:c r="E14" s="10" t="d">
        <x:v>2026-10-27T17:00:00.000Z</x:v>
      </x:c>
      <x:c r="F14" s="10" t="d">
        <x:v>2026-10-27T16:00:00.000Z</x:v>
      </x:c>
      <x:c r="G14" s="2" t="str">
        <x:f>IF(F14&lt;=E14,"Đúng hẹn","Trễ hẹn")</x:f>
        <x:v>Đúng hẹn</x:v>
      </x:c>
    </x:row>
    <x:row r="15" ht="24" customHeight="1">
      <x:c r="A15" s="11" t="str">
        <x:v>FM000014</x:v>
      </x:c>
      <x:c r="B15" s="12" t="str">
        <x:f>TRIM(CLEAN(SUBSTITUTE(A15,CHAR(160)," ")))</x:f>
        <x:v>FM000014</x:v>
      </x:c>
      <x:c r="C15" s="14" t="n">
        <x:f>IF(B15="","Thiếu mã",IFERROR(VLOOKUP(B15,'GiaCuoc'!$A$2:$B$501,2,FALSE),"Cần kiểm tra mã"))</x:f>
        <x:v>20000</x:v>
      </x:c>
      <x:c r="D15" s="2" t="str">
        <x:v>Nội thành</x:v>
      </x:c>
      <x:c r="E15" s="10" t="d">
        <x:v>2026-10-27T17:00:00.000Z</x:v>
      </x:c>
      <x:c r="F15" s="10" t="d">
        <x:v>2026-10-27T16:00:00.000Z</x:v>
      </x:c>
      <x:c r="G15" s="2" t="str">
        <x:f>IF(F15&lt;=E15,"Đúng hẹn","Trễ hẹn")</x:f>
        <x:v>Đúng hẹn</x:v>
      </x:c>
    </x:row>
    <x:row r="16" ht="24" customHeight="1">
      <x:c r="A16" s="11" t="str">
        <x:v>FM000015</x:v>
      </x:c>
      <x:c r="B16" s="12" t="str">
        <x:f>TRIM(CLEAN(SUBSTITUTE(A16,CHAR(160)," ")))</x:f>
        <x:v>FM000015</x:v>
      </x:c>
      <x:c r="C16" s="14" t="n">
        <x:f>IF(B16="","Thiếu mã",IFERROR(VLOOKUP(B16,'GiaCuoc'!$A$2:$B$501,2,FALSE),"Cần kiểm tra mã"))</x:f>
        <x:v>20000</x:v>
      </x:c>
      <x:c r="D16" s="2" t="str">
        <x:v>Nội thành</x:v>
      </x:c>
      <x:c r="E16" s="10" t="d">
        <x:v>2026-10-27T17:00:00.000Z</x:v>
      </x:c>
      <x:c r="F16" s="10" t="d">
        <x:v>2026-10-27T16:00:00.000Z</x:v>
      </x:c>
      <x:c r="G16" s="2" t="str">
        <x:f>IF(F16&lt;=E16,"Đúng hẹn","Trễ hẹn")</x:f>
        <x:v>Đúng hẹn</x:v>
      </x:c>
    </x:row>
    <x:row r="17" ht="24" customHeight="1">
      <x:c r="A17" s="11" t="str">
        <x:v>FM000016</x:v>
      </x:c>
      <x:c r="B17" s="12" t="str">
        <x:f>TRIM(CLEAN(SUBSTITUTE(A17,CHAR(160)," ")))</x:f>
        <x:v>FM000016</x:v>
      </x:c>
      <x:c r="C17" s="14" t="n">
        <x:f>IF(B17="","Thiếu mã",IFERROR(VLOOKUP(B17,'GiaCuoc'!$A$2:$B$501,2,FALSE),"Cần kiểm tra mã"))</x:f>
        <x:v>20000</x:v>
      </x:c>
      <x:c r="D17" s="2" t="str">
        <x:v>Nội thành</x:v>
      </x:c>
      <x:c r="E17" s="10" t="d">
        <x:v>2026-10-27T17:00:00.000Z</x:v>
      </x:c>
      <x:c r="F17" s="10" t="d">
        <x:v>2026-10-27T16:00:00.000Z</x:v>
      </x:c>
      <x:c r="G17" s="2" t="str">
        <x:f>IF(F17&lt;=E17,"Đúng hẹn","Trễ hẹn")</x:f>
        <x:v>Đúng hẹn</x:v>
      </x:c>
    </x:row>
    <x:row r="18" ht="24" customHeight="1">
      <x:c r="A18" s="11" t="str">
        <x:v>FM000017</x:v>
      </x:c>
      <x:c r="B18" s="12" t="str">
        <x:f>TRIM(CLEAN(SUBSTITUTE(A18,CHAR(160)," ")))</x:f>
        <x:v>FM000017</x:v>
      </x:c>
      <x:c r="C18" s="14" t="n">
        <x:f>IF(B18="","Thiếu mã",IFERROR(VLOOKUP(B18,'GiaCuoc'!$A$2:$B$501,2,FALSE),"Cần kiểm tra mã"))</x:f>
        <x:v>20000</x:v>
      </x:c>
      <x:c r="D18" s="2" t="str">
        <x:v>Nội thành</x:v>
      </x:c>
      <x:c r="E18" s="10" t="d">
        <x:v>2026-10-27T17:00:00.000Z</x:v>
      </x:c>
      <x:c r="F18" s="10" t="d">
        <x:v>2026-10-27T16:00:00.000Z</x:v>
      </x:c>
      <x:c r="G18" s="2" t="str">
        <x:f>IF(F18&lt;=E18,"Đúng hẹn","Trễ hẹn")</x:f>
        <x:v>Đúng hẹn</x:v>
      </x:c>
    </x:row>
    <x:row r="19" ht="24" customHeight="1">
      <x:c r="A19" s="11" t="str">
        <x:v>FM000018</x:v>
      </x:c>
      <x:c r="B19" s="12" t="str">
        <x:f>TRIM(CLEAN(SUBSTITUTE(A19,CHAR(160)," ")))</x:f>
        <x:v>FM000018</x:v>
      </x:c>
      <x:c r="C19" s="14" t="n">
        <x:f>IF(B19="","Thiếu mã",IFERROR(VLOOKUP(B19,'GiaCuoc'!$A$2:$B$501,2,FALSE),"Cần kiểm tra mã"))</x:f>
        <x:v>20000</x:v>
      </x:c>
      <x:c r="D19" s="2" t="str">
        <x:v>Nội thành</x:v>
      </x:c>
      <x:c r="E19" s="10" t="d">
        <x:v>2026-10-27T17:00:00.000Z</x:v>
      </x:c>
      <x:c r="F19" s="10" t="d">
        <x:v>2026-10-27T16:00:00.000Z</x:v>
      </x:c>
      <x:c r="G19" s="2" t="str">
        <x:f>IF(F19&lt;=E19,"Đúng hẹn","Trễ hẹn")</x:f>
        <x:v>Đúng hẹn</x:v>
      </x:c>
    </x:row>
    <x:row r="20" ht="24" customHeight="1">
      <x:c r="A20" s="11" t="str">
        <x:v>FM000019</x:v>
      </x:c>
      <x:c r="B20" s="12" t="str">
        <x:f>TRIM(CLEAN(SUBSTITUTE(A20,CHAR(160)," ")))</x:f>
        <x:v>FM000019</x:v>
      </x:c>
      <x:c r="C20" s="14" t="n">
        <x:f>IF(B20="","Thiếu mã",IFERROR(VLOOKUP(B20,'GiaCuoc'!$A$2:$B$501,2,FALSE),"Cần kiểm tra mã"))</x:f>
        <x:v>20000</x:v>
      </x:c>
      <x:c r="D20" s="2" t="str">
        <x:v>Nội thành</x:v>
      </x:c>
      <x:c r="E20" s="10" t="d">
        <x:v>2026-10-27T17:00:00.000Z</x:v>
      </x:c>
      <x:c r="F20" s="10" t="d">
        <x:v>2026-10-27T16:00:00.000Z</x:v>
      </x:c>
      <x:c r="G20" s="2" t="str">
        <x:f>IF(F20&lt;=E20,"Đúng hẹn","Trễ hẹn")</x:f>
        <x:v>Đúng hẹn</x:v>
      </x:c>
    </x:row>
    <x:row r="21" ht="24" customHeight="1">
      <x:c r="A21" s="11" t="str">
        <x:v>FM000020</x:v>
      </x:c>
      <x:c r="B21" s="12" t="str">
        <x:f>TRIM(CLEAN(SUBSTITUTE(A21,CHAR(160)," ")))</x:f>
        <x:v>FM000020</x:v>
      </x:c>
      <x:c r="C21" s="14" t="n">
        <x:f>IF(B21="","Thiếu mã",IFERROR(VLOOKUP(B21,'GiaCuoc'!$A$2:$B$501,2,FALSE),"Cần kiểm tra mã"))</x:f>
        <x:v>20000</x:v>
      </x:c>
      <x:c r="D21" s="2" t="str">
        <x:v>Nội thành</x:v>
      </x:c>
      <x:c r="E21" s="10" t="d">
        <x:v>2026-10-27T17:00:00.000Z</x:v>
      </x:c>
      <x:c r="F21" s="10" t="d">
        <x:v>2026-10-27T16:00:00.000Z</x:v>
      </x:c>
      <x:c r="G21" s="2" t="str">
        <x:f>IF(F21&lt;=E21,"Đúng hẹn","Trễ hẹn")</x:f>
        <x:v>Đúng hẹn</x:v>
      </x:c>
    </x:row>
    <x:row r="22" ht="24" customHeight="1">
      <x:c r="A22" s="11" t="str">
        <x:v>FM000021</x:v>
      </x:c>
      <x:c r="B22" s="12" t="str">
        <x:f>TRIM(CLEAN(SUBSTITUTE(A22,CHAR(160)," ")))</x:f>
        <x:v>FM000021</x:v>
      </x:c>
      <x:c r="C22" s="14" t="n">
        <x:f>IF(B22="","Thiếu mã",IFERROR(VLOOKUP(B22,'GiaCuoc'!$A$2:$B$501,2,FALSE),"Cần kiểm tra mã"))</x:f>
        <x:v>20000</x:v>
      </x:c>
      <x:c r="D22" s="2" t="str">
        <x:v>Nội thành</x:v>
      </x:c>
      <x:c r="E22" s="10" t="d">
        <x:v>2026-10-27T17:00:00.000Z</x:v>
      </x:c>
      <x:c r="F22" s="10" t="d">
        <x:v>2026-10-27T16:00:00.000Z</x:v>
      </x:c>
      <x:c r="G22" s="2" t="str">
        <x:f>IF(F22&lt;=E22,"Đúng hẹn","Trễ hẹn")</x:f>
        <x:v>Đúng hẹn</x:v>
      </x:c>
    </x:row>
    <x:row r="23" ht="24" customHeight="1">
      <x:c r="A23" s="11" t="str">
        <x:v>FM000022</x:v>
      </x:c>
      <x:c r="B23" s="12" t="str">
        <x:f>TRIM(CLEAN(SUBSTITUTE(A23,CHAR(160)," ")))</x:f>
        <x:v>FM000022</x:v>
      </x:c>
      <x:c r="C23" s="14" t="n">
        <x:f>IF(B23="","Thiếu mã",IFERROR(VLOOKUP(B23,'GiaCuoc'!$A$2:$B$501,2,FALSE),"Cần kiểm tra mã"))</x:f>
        <x:v>20000</x:v>
      </x:c>
      <x:c r="D23" s="2" t="str">
        <x:v>Nội thành</x:v>
      </x:c>
      <x:c r="E23" s="10" t="d">
        <x:v>2026-10-27T17:00:00.000Z</x:v>
      </x:c>
      <x:c r="F23" s="10" t="d">
        <x:v>2026-10-27T16:00:00.000Z</x:v>
      </x:c>
      <x:c r="G23" s="2" t="str">
        <x:f>IF(F23&lt;=E23,"Đúng hẹn","Trễ hẹn")</x:f>
        <x:v>Đúng hẹn</x:v>
      </x:c>
    </x:row>
    <x:row r="24" ht="24" customHeight="1">
      <x:c r="A24" s="11" t="str">
        <x:v>FM000023</x:v>
      </x:c>
      <x:c r="B24" s="12" t="str">
        <x:f>TRIM(CLEAN(SUBSTITUTE(A24,CHAR(160)," ")))</x:f>
        <x:v>FM000023</x:v>
      </x:c>
      <x:c r="C24" s="14" t="n">
        <x:f>IF(B24="","Thiếu mã",IFERROR(VLOOKUP(B24,'GiaCuoc'!$A$2:$B$501,2,FALSE),"Cần kiểm tra mã"))</x:f>
        <x:v>20000</x:v>
      </x:c>
      <x:c r="D24" s="2" t="str">
        <x:v>Nội thành</x:v>
      </x:c>
      <x:c r="E24" s="10" t="d">
        <x:v>2026-10-27T17:00:00.000Z</x:v>
      </x:c>
      <x:c r="F24" s="10" t="d">
        <x:v>2026-10-27T16:00:00.000Z</x:v>
      </x:c>
      <x:c r="G24" s="2" t="str">
        <x:f>IF(F24&lt;=E24,"Đúng hẹn","Trễ hẹn")</x:f>
        <x:v>Đúng hẹn</x:v>
      </x:c>
    </x:row>
    <x:row r="25" ht="24" customHeight="1">
      <x:c r="A25" s="11" t="str">
        <x:v>FM000024</x:v>
      </x:c>
      <x:c r="B25" s="12" t="str">
        <x:f>TRIM(CLEAN(SUBSTITUTE(A25,CHAR(160)," ")))</x:f>
        <x:v>FM000024</x:v>
      </x:c>
      <x:c r="C25" s="14" t="n">
        <x:f>IF(B25="","Thiếu mã",IFERROR(VLOOKUP(B25,'GiaCuoc'!$A$2:$B$501,2,FALSE),"Cần kiểm tra mã"))</x:f>
        <x:v>20000</x:v>
      </x:c>
      <x:c r="D25" s="2" t="str">
        <x:v>Nội thành</x:v>
      </x:c>
      <x:c r="E25" s="10" t="d">
        <x:v>2026-10-27T17:00:00.000Z</x:v>
      </x:c>
      <x:c r="F25" s="10" t="d">
        <x:v>2026-10-27T16:00:00.000Z</x:v>
      </x:c>
      <x:c r="G25" s="2" t="str">
        <x:f>IF(F25&lt;=E25,"Đúng hẹn","Trễ hẹn")</x:f>
        <x:v>Đúng hẹn</x:v>
      </x:c>
    </x:row>
    <x:row r="26" ht="24" customHeight="1">
      <x:c r="A26" s="11" t="str">
        <x:v>FM000025</x:v>
      </x:c>
      <x:c r="B26" s="12" t="str">
        <x:f>TRIM(CLEAN(SUBSTITUTE(A26,CHAR(160)," ")))</x:f>
        <x:v>FM000025</x:v>
      </x:c>
      <x:c r="C26" s="14" t="n">
        <x:f>IF(B26="","Thiếu mã",IFERROR(VLOOKUP(B26,'GiaCuoc'!$A$2:$B$501,2,FALSE),"Cần kiểm tra mã"))</x:f>
        <x:v>20000</x:v>
      </x:c>
      <x:c r="D26" s="2" t="str">
        <x:v>Nội thành</x:v>
      </x:c>
      <x:c r="E26" s="10" t="d">
        <x:v>2026-10-27T17:00:00.000Z</x:v>
      </x:c>
      <x:c r="F26" s="10" t="d">
        <x:v>2026-10-27T16:00:00.000Z</x:v>
      </x:c>
      <x:c r="G26" s="2" t="str">
        <x:f>IF(F26&lt;=E26,"Đúng hẹn","Trễ hẹn")</x:f>
        <x:v>Đúng hẹn</x:v>
      </x:c>
    </x:row>
    <x:row r="27" ht="24" customHeight="1">
      <x:c r="A27" s="11" t="str">
        <x:v>FM000026</x:v>
      </x:c>
      <x:c r="B27" s="12" t="str">
        <x:f>TRIM(CLEAN(SUBSTITUTE(A27,CHAR(160)," ")))</x:f>
        <x:v>FM000026</x:v>
      </x:c>
      <x:c r="C27" s="14" t="n">
        <x:f>IF(B27="","Thiếu mã",IFERROR(VLOOKUP(B27,'GiaCuoc'!$A$2:$B$501,2,FALSE),"Cần kiểm tra mã"))</x:f>
        <x:v>20000</x:v>
      </x:c>
      <x:c r="D27" s="2" t="str">
        <x:v>Nội thành</x:v>
      </x:c>
      <x:c r="E27" s="10" t="d">
        <x:v>2026-10-27T17:00:00.000Z</x:v>
      </x:c>
      <x:c r="F27" s="10" t="d">
        <x:v>2026-10-27T16:00:00.000Z</x:v>
      </x:c>
      <x:c r="G27" s="2" t="str">
        <x:f>IF(F27&lt;=E27,"Đúng hẹn","Trễ hẹn")</x:f>
        <x:v>Đúng hẹn</x:v>
      </x:c>
    </x:row>
    <x:row r="28" ht="24" customHeight="1">
      <x:c r="A28" s="11" t="str">
        <x:v>FM000027</x:v>
      </x:c>
      <x:c r="B28" s="12" t="str">
        <x:f>TRIM(CLEAN(SUBSTITUTE(A28,CHAR(160)," ")))</x:f>
        <x:v>FM000027</x:v>
      </x:c>
      <x:c r="C28" s="14" t="n">
        <x:f>IF(B28="","Thiếu mã",IFERROR(VLOOKUP(B28,'GiaCuoc'!$A$2:$B$501,2,FALSE),"Cần kiểm tra mã"))</x:f>
        <x:v>20000</x:v>
      </x:c>
      <x:c r="D28" s="2" t="str">
        <x:v>Nội thành</x:v>
      </x:c>
      <x:c r="E28" s="10" t="d">
        <x:v>2026-10-27T17:00:00.000Z</x:v>
      </x:c>
      <x:c r="F28" s="10" t="d">
        <x:v>2026-10-27T16:00:00.000Z</x:v>
      </x:c>
      <x:c r="G28" s="2" t="str">
        <x:f>IF(F28&lt;=E28,"Đúng hẹn","Trễ hẹn")</x:f>
        <x:v>Đúng hẹn</x:v>
      </x:c>
    </x:row>
    <x:row r="29" ht="24" customHeight="1">
      <x:c r="A29" s="11" t="str">
        <x:v>FM000028</x:v>
      </x:c>
      <x:c r="B29" s="12" t="str">
        <x:f>TRIM(CLEAN(SUBSTITUTE(A29,CHAR(160)," ")))</x:f>
        <x:v>FM000028</x:v>
      </x:c>
      <x:c r="C29" s="14" t="n">
        <x:f>IF(B29="","Thiếu mã",IFERROR(VLOOKUP(B29,'GiaCuoc'!$A$2:$B$501,2,FALSE),"Cần kiểm tra mã"))</x:f>
        <x:v>20000</x:v>
      </x:c>
      <x:c r="D29" s="2" t="str">
        <x:v>Nội thành</x:v>
      </x:c>
      <x:c r="E29" s="10" t="d">
        <x:v>2026-10-27T17:00:00.000Z</x:v>
      </x:c>
      <x:c r="F29" s="10" t="d">
        <x:v>2026-10-27T16:00:00.000Z</x:v>
      </x:c>
      <x:c r="G29" s="2" t="str">
        <x:f>IF(F29&lt;=E29,"Đúng hẹn","Trễ hẹn")</x:f>
        <x:v>Đúng hẹn</x:v>
      </x:c>
    </x:row>
    <x:row r="30" ht="24" customHeight="1">
      <x:c r="A30" s="11" t="str">
        <x:v>FM000029</x:v>
      </x:c>
      <x:c r="B30" s="12" t="str">
        <x:f>TRIM(CLEAN(SUBSTITUTE(A30,CHAR(160)," ")))</x:f>
        <x:v>FM000029</x:v>
      </x:c>
      <x:c r="C30" s="14" t="n">
        <x:f>IF(B30="","Thiếu mã",IFERROR(VLOOKUP(B30,'GiaCuoc'!$A$2:$B$501,2,FALSE),"Cần kiểm tra mã"))</x:f>
        <x:v>20000</x:v>
      </x:c>
      <x:c r="D30" s="2" t="str">
        <x:v>Nội thành</x:v>
      </x:c>
      <x:c r="E30" s="10" t="d">
        <x:v>2026-10-27T17:00:00.000Z</x:v>
      </x:c>
      <x:c r="F30" s="10" t="d">
        <x:v>2026-10-27T16:00:00.000Z</x:v>
      </x:c>
      <x:c r="G30" s="2" t="str">
        <x:f>IF(F30&lt;=E30,"Đúng hẹn","Trễ hẹn")</x:f>
        <x:v>Đúng hẹn</x:v>
      </x:c>
    </x:row>
    <x:row r="31" ht="24" customHeight="1">
      <x:c r="A31" s="11" t="str">
        <x:v>FM000030</x:v>
      </x:c>
      <x:c r="B31" s="12" t="str">
        <x:f>TRIM(CLEAN(SUBSTITUTE(A31,CHAR(160)," ")))</x:f>
        <x:v>FM000030</x:v>
      </x:c>
      <x:c r="C31" s="14" t="n">
        <x:f>IF(B31="","Thiếu mã",IFERROR(VLOOKUP(B31,'GiaCuoc'!$A$2:$B$501,2,FALSE),"Cần kiểm tra mã"))</x:f>
        <x:v>20000</x:v>
      </x:c>
      <x:c r="D31" s="2" t="str">
        <x:v>Nội thành</x:v>
      </x:c>
      <x:c r="E31" s="10" t="d">
        <x:v>2026-10-27T17:00:00.000Z</x:v>
      </x:c>
      <x:c r="F31" s="10" t="d">
        <x:v>2026-10-27T16:00:00.000Z</x:v>
      </x:c>
      <x:c r="G31" s="2" t="str">
        <x:f>IF(F31&lt;=E31,"Đúng hẹn","Trễ hẹn")</x:f>
        <x:v>Đúng hẹn</x:v>
      </x:c>
    </x:row>
    <x:row r="32" ht="24" customHeight="1">
      <x:c r="A32" s="11" t="str">
        <x:v>FM000031</x:v>
      </x:c>
      <x:c r="B32" s="12" t="str">
        <x:f>TRIM(CLEAN(SUBSTITUTE(A32,CHAR(160)," ")))</x:f>
        <x:v>FM000031</x:v>
      </x:c>
      <x:c r="C32" s="14" t="n">
        <x:f>IF(B32="","Thiếu mã",IFERROR(VLOOKUP(B32,'GiaCuoc'!$A$2:$B$501,2,FALSE),"Cần kiểm tra mã"))</x:f>
        <x:v>20000</x:v>
      </x:c>
      <x:c r="D32" s="2" t="str">
        <x:v>Nội thành</x:v>
      </x:c>
      <x:c r="E32" s="10" t="d">
        <x:v>2026-10-27T17:00:00.000Z</x:v>
      </x:c>
      <x:c r="F32" s="10" t="d">
        <x:v>2026-10-27T16:00:00.000Z</x:v>
      </x:c>
      <x:c r="G32" s="2" t="str">
        <x:f>IF(F32&lt;=E32,"Đúng hẹn","Trễ hẹn")</x:f>
        <x:v>Đúng hẹn</x:v>
      </x:c>
    </x:row>
    <x:row r="33" ht="24" customHeight="1">
      <x:c r="A33" s="11" t="str">
        <x:v>FM000032</x:v>
      </x:c>
      <x:c r="B33" s="12" t="str">
        <x:f>TRIM(CLEAN(SUBSTITUTE(A33,CHAR(160)," ")))</x:f>
        <x:v>FM000032</x:v>
      </x:c>
      <x:c r="C33" s="14" t="n">
        <x:f>IF(B33="","Thiếu mã",IFERROR(VLOOKUP(B33,'GiaCuoc'!$A$2:$B$501,2,FALSE),"Cần kiểm tra mã"))</x:f>
        <x:v>20000</x:v>
      </x:c>
      <x:c r="D33" s="2" t="str">
        <x:v>Nội thành</x:v>
      </x:c>
      <x:c r="E33" s="10" t="d">
        <x:v>2026-10-27T17:00:00.000Z</x:v>
      </x:c>
      <x:c r="F33" s="10" t="d">
        <x:v>2026-10-27T16:00:00.000Z</x:v>
      </x:c>
      <x:c r="G33" s="2" t="str">
        <x:f>IF(F33&lt;=E33,"Đúng hẹn","Trễ hẹn")</x:f>
        <x:v>Đúng hẹn</x:v>
      </x:c>
    </x:row>
    <x:row r="34" ht="24" customHeight="1">
      <x:c r="A34" s="11" t="str">
        <x:v>FM000033</x:v>
      </x:c>
      <x:c r="B34" s="12" t="str">
        <x:f>TRIM(CLEAN(SUBSTITUTE(A34,CHAR(160)," ")))</x:f>
        <x:v>FM000033</x:v>
      </x:c>
      <x:c r="C34" s="14" t="n">
        <x:f>IF(B34="","Thiếu mã",IFERROR(VLOOKUP(B34,'GiaCuoc'!$A$2:$B$501,2,FALSE),"Cần kiểm tra mã"))</x:f>
        <x:v>20000</x:v>
      </x:c>
      <x:c r="D34" s="2" t="str">
        <x:v>Nội thành</x:v>
      </x:c>
      <x:c r="E34" s="10" t="d">
        <x:v>2026-10-27T17:00:00.000Z</x:v>
      </x:c>
      <x:c r="F34" s="10" t="d">
        <x:v>2026-10-27T16:00:00.000Z</x:v>
      </x:c>
      <x:c r="G34" s="2" t="str">
        <x:f>IF(F34&lt;=E34,"Đúng hẹn","Trễ hẹn")</x:f>
        <x:v>Đúng hẹn</x:v>
      </x:c>
    </x:row>
    <x:row r="35" ht="24" customHeight="1">
      <x:c r="A35" s="11" t="str">
        <x:v>FM000034</x:v>
      </x:c>
      <x:c r="B35" s="12" t="str">
        <x:f>TRIM(CLEAN(SUBSTITUTE(A35,CHAR(160)," ")))</x:f>
        <x:v>FM000034</x:v>
      </x:c>
      <x:c r="C35" s="14" t="n">
        <x:f>IF(B35="","Thiếu mã",IFERROR(VLOOKUP(B35,'GiaCuoc'!$A$2:$B$501,2,FALSE),"Cần kiểm tra mã"))</x:f>
        <x:v>20000</x:v>
      </x:c>
      <x:c r="D35" s="2" t="str">
        <x:v>Nội thành</x:v>
      </x:c>
      <x:c r="E35" s="10" t="d">
        <x:v>2026-10-27T17:00:00.000Z</x:v>
      </x:c>
      <x:c r="F35" s="10" t="d">
        <x:v>2026-10-27T16:00:00.000Z</x:v>
      </x:c>
      <x:c r="G35" s="2" t="str">
        <x:f>IF(F35&lt;=E35,"Đúng hẹn","Trễ hẹn")</x:f>
        <x:v>Đúng hẹn</x:v>
      </x:c>
    </x:row>
    <x:row r="36" ht="24" customHeight="1">
      <x:c r="A36" s="11" t="str">
        <x:v>FM000035</x:v>
      </x:c>
      <x:c r="B36" s="12" t="str">
        <x:f>TRIM(CLEAN(SUBSTITUTE(A36,CHAR(160)," ")))</x:f>
        <x:v>FM000035</x:v>
      </x:c>
      <x:c r="C36" s="14" t="n">
        <x:f>IF(B36="","Thiếu mã",IFERROR(VLOOKUP(B36,'GiaCuoc'!$A$2:$B$501,2,FALSE),"Cần kiểm tra mã"))</x:f>
        <x:v>20000</x:v>
      </x:c>
      <x:c r="D36" s="2" t="str">
        <x:v>Nội thành</x:v>
      </x:c>
      <x:c r="E36" s="10" t="d">
        <x:v>2026-10-27T17:00:00.000Z</x:v>
      </x:c>
      <x:c r="F36" s="10" t="d">
        <x:v>2026-10-27T16:00:00.000Z</x:v>
      </x:c>
      <x:c r="G36" s="2" t="str">
        <x:f>IF(F36&lt;=E36,"Đúng hẹn","Trễ hẹn")</x:f>
        <x:v>Đúng hẹn</x:v>
      </x:c>
    </x:row>
    <x:row r="37" ht="24" customHeight="1">
      <x:c r="A37" s="11" t="str">
        <x:v>FM000036</x:v>
      </x:c>
      <x:c r="B37" s="12" t="str">
        <x:f>TRIM(CLEAN(SUBSTITUTE(A37,CHAR(160)," ")))</x:f>
        <x:v>FM000036</x:v>
      </x:c>
      <x:c r="C37" s="14" t="n">
        <x:f>IF(B37="","Thiếu mã",IFERROR(VLOOKUP(B37,'GiaCuoc'!$A$2:$B$501,2,FALSE),"Cần kiểm tra mã"))</x:f>
        <x:v>20000</x:v>
      </x:c>
      <x:c r="D37" s="2" t="str">
        <x:v>Nội thành</x:v>
      </x:c>
      <x:c r="E37" s="10" t="d">
        <x:v>2026-10-27T17:00:00.000Z</x:v>
      </x:c>
      <x:c r="F37" s="10" t="d">
        <x:v>2026-10-27T16:00:00.000Z</x:v>
      </x:c>
      <x:c r="G37" s="2" t="str">
        <x:f>IF(F37&lt;=E37,"Đúng hẹn","Trễ hẹn")</x:f>
        <x:v>Đúng hẹn</x:v>
      </x:c>
    </x:row>
    <x:row r="38" ht="24" customHeight="1">
      <x:c r="A38" s="11" t="str">
        <x:v>FM000037</x:v>
      </x:c>
      <x:c r="B38" s="12" t="str">
        <x:f>TRIM(CLEAN(SUBSTITUTE(A38,CHAR(160)," ")))</x:f>
        <x:v>FM000037</x:v>
      </x:c>
      <x:c r="C38" s="14" t="n">
        <x:f>IF(B38="","Thiếu mã",IFERROR(VLOOKUP(B38,'GiaCuoc'!$A$2:$B$501,2,FALSE),"Cần kiểm tra mã"))</x:f>
        <x:v>20000</x:v>
      </x:c>
      <x:c r="D38" s="2" t="str">
        <x:v>Nội thành</x:v>
      </x:c>
      <x:c r="E38" s="10" t="d">
        <x:v>2026-10-27T17:00:00.000Z</x:v>
      </x:c>
      <x:c r="F38" s="10" t="d">
        <x:v>2026-10-27T16:00:00.000Z</x:v>
      </x:c>
      <x:c r="G38" s="2" t="str">
        <x:f>IF(F38&lt;=E38,"Đúng hẹn","Trễ hẹn")</x:f>
        <x:v>Đúng hẹn</x:v>
      </x:c>
    </x:row>
    <x:row r="39" ht="24" customHeight="1">
      <x:c r="A39" s="11" t="str">
        <x:v>FM000038</x:v>
      </x:c>
      <x:c r="B39" s="12" t="str">
        <x:f>TRIM(CLEAN(SUBSTITUTE(A39,CHAR(160)," ")))</x:f>
        <x:v>FM000038</x:v>
      </x:c>
      <x:c r="C39" s="14" t="n">
        <x:f>IF(B39="","Thiếu mã",IFERROR(VLOOKUP(B39,'GiaCuoc'!$A$2:$B$501,2,FALSE),"Cần kiểm tra mã"))</x:f>
        <x:v>20000</x:v>
      </x:c>
      <x:c r="D39" s="2" t="str">
        <x:v>Nội thành</x:v>
      </x:c>
      <x:c r="E39" s="10" t="d">
        <x:v>2026-10-27T17:00:00.000Z</x:v>
      </x:c>
      <x:c r="F39" s="10" t="d">
        <x:v>2026-10-27T16:00:00.000Z</x:v>
      </x:c>
      <x:c r="G39" s="2" t="str">
        <x:f>IF(F39&lt;=E39,"Đúng hẹn","Trễ hẹn")</x:f>
        <x:v>Đúng hẹn</x:v>
      </x:c>
    </x:row>
    <x:row r="40" ht="24" customHeight="1">
      <x:c r="A40" s="11" t="str">
        <x:v>FM000039</x:v>
      </x:c>
      <x:c r="B40" s="12" t="str">
        <x:f>TRIM(CLEAN(SUBSTITUTE(A40,CHAR(160)," ")))</x:f>
        <x:v>FM000039</x:v>
      </x:c>
      <x:c r="C40" s="14" t="n">
        <x:f>IF(B40="","Thiếu mã",IFERROR(VLOOKUP(B40,'GiaCuoc'!$A$2:$B$501,2,FALSE),"Cần kiểm tra mã"))</x:f>
        <x:v>20000</x:v>
      </x:c>
      <x:c r="D40" s="2" t="str">
        <x:v>Nội thành</x:v>
      </x:c>
      <x:c r="E40" s="10" t="d">
        <x:v>2026-10-27T17:00:00.000Z</x:v>
      </x:c>
      <x:c r="F40" s="10" t="d">
        <x:v>2026-10-27T16:00:00.000Z</x:v>
      </x:c>
      <x:c r="G40" s="2" t="str">
        <x:f>IF(F40&lt;=E40,"Đúng hẹn","Trễ hẹn")</x:f>
        <x:v>Đúng hẹn</x:v>
      </x:c>
    </x:row>
    <x:row r="41" ht="24" customHeight="1">
      <x:c r="A41" s="11" t="str">
        <x:v>FM000040</x:v>
      </x:c>
      <x:c r="B41" s="12" t="str">
        <x:f>TRIM(CLEAN(SUBSTITUTE(A41,CHAR(160)," ")))</x:f>
        <x:v>FM000040</x:v>
      </x:c>
      <x:c r="C41" s="14" t="n">
        <x:f>IF(B41="","Thiếu mã",IFERROR(VLOOKUP(B41,'GiaCuoc'!$A$2:$B$501,2,FALSE),"Cần kiểm tra mã"))</x:f>
        <x:v>20000</x:v>
      </x:c>
      <x:c r="D41" s="2" t="str">
        <x:v>Nội thành</x:v>
      </x:c>
      <x:c r="E41" s="10" t="d">
        <x:v>2026-10-27T17:00:00.000Z</x:v>
      </x:c>
      <x:c r="F41" s="10" t="d">
        <x:v>2026-10-27T16:00:00.000Z</x:v>
      </x:c>
      <x:c r="G41" s="2" t="str">
        <x:f>IF(F41&lt;=E41,"Đúng hẹn","Trễ hẹn")</x:f>
        <x:v>Đúng hẹn</x:v>
      </x:c>
    </x:row>
    <x:row r="42" ht="24" customHeight="1">
      <x:c r="A42" s="11" t="str">
        <x:v>FM000041</x:v>
      </x:c>
      <x:c r="B42" s="12" t="str">
        <x:f>TRIM(CLEAN(SUBSTITUTE(A42,CHAR(160)," ")))</x:f>
        <x:v>FM000041</x:v>
      </x:c>
      <x:c r="C42" s="14" t="n">
        <x:f>IF(B42="","Thiếu mã",IFERROR(VLOOKUP(B42,'GiaCuoc'!$A$2:$B$501,2,FALSE),"Cần kiểm tra mã"))</x:f>
        <x:v>20000</x:v>
      </x:c>
      <x:c r="D42" s="2" t="str">
        <x:v>Nội thành</x:v>
      </x:c>
      <x:c r="E42" s="10" t="d">
        <x:v>2026-10-27T17:00:00.000Z</x:v>
      </x:c>
      <x:c r="F42" s="10" t="d">
        <x:v>2026-10-27T16:00:00.000Z</x:v>
      </x:c>
      <x:c r="G42" s="2" t="str">
        <x:f>IF(F42&lt;=E42,"Đúng hẹn","Trễ hẹn")</x:f>
        <x:v>Đúng hẹn</x:v>
      </x:c>
    </x:row>
    <x:row r="43" ht="24" customHeight="1">
      <x:c r="A43" s="11" t="str">
        <x:v>FM000042</x:v>
      </x:c>
      <x:c r="B43" s="12" t="str">
        <x:f>TRIM(CLEAN(SUBSTITUTE(A43,CHAR(160)," ")))</x:f>
        <x:v>FM000042</x:v>
      </x:c>
      <x:c r="C43" s="14" t="n">
        <x:f>IF(B43="","Thiếu mã",IFERROR(VLOOKUP(B43,'GiaCuoc'!$A$2:$B$501,2,FALSE),"Cần kiểm tra mã"))</x:f>
        <x:v>20000</x:v>
      </x:c>
      <x:c r="D43" s="2" t="str">
        <x:v>Nội thành</x:v>
      </x:c>
      <x:c r="E43" s="10" t="d">
        <x:v>2026-10-27T17:00:00.000Z</x:v>
      </x:c>
      <x:c r="F43" s="10" t="d">
        <x:v>2026-10-27T16:00:00.000Z</x:v>
      </x:c>
      <x:c r="G43" s="2" t="str">
        <x:f>IF(F43&lt;=E43,"Đúng hẹn","Trễ hẹn")</x:f>
        <x:v>Đúng hẹn</x:v>
      </x:c>
    </x:row>
    <x:row r="44" ht="24" customHeight="1">
      <x:c r="A44" s="11" t="str">
        <x:v>FM000043</x:v>
      </x:c>
      <x:c r="B44" s="12" t="str">
        <x:f>TRIM(CLEAN(SUBSTITUTE(A44,CHAR(160)," ")))</x:f>
        <x:v>FM000043</x:v>
      </x:c>
      <x:c r="C44" s="14" t="n">
        <x:f>IF(B44="","Thiếu mã",IFERROR(VLOOKUP(B44,'GiaCuoc'!$A$2:$B$501,2,FALSE),"Cần kiểm tra mã"))</x:f>
        <x:v>20000</x:v>
      </x:c>
      <x:c r="D44" s="2" t="str">
        <x:v>Nội thành</x:v>
      </x:c>
      <x:c r="E44" s="10" t="d">
        <x:v>2026-10-27T17:00:00.000Z</x:v>
      </x:c>
      <x:c r="F44" s="10" t="d">
        <x:v>2026-10-27T16:00:00.000Z</x:v>
      </x:c>
      <x:c r="G44" s="2" t="str">
        <x:f>IF(F44&lt;=E44,"Đúng hẹn","Trễ hẹn")</x:f>
        <x:v>Đúng hẹn</x:v>
      </x:c>
    </x:row>
    <x:row r="45" ht="24" customHeight="1">
      <x:c r="A45" s="11" t="str">
        <x:v>FM000044</x:v>
      </x:c>
      <x:c r="B45" s="12" t="str">
        <x:f>TRIM(CLEAN(SUBSTITUTE(A45,CHAR(160)," ")))</x:f>
        <x:v>FM000044</x:v>
      </x:c>
      <x:c r="C45" s="14" t="n">
        <x:f>IF(B45="","Thiếu mã",IFERROR(VLOOKUP(B45,'GiaCuoc'!$A$2:$B$501,2,FALSE),"Cần kiểm tra mã"))</x:f>
        <x:v>20000</x:v>
      </x:c>
      <x:c r="D45" s="2" t="str">
        <x:v>Nội thành</x:v>
      </x:c>
      <x:c r="E45" s="10" t="d">
        <x:v>2026-10-27T17:00:00.000Z</x:v>
      </x:c>
      <x:c r="F45" s="10" t="d">
        <x:v>2026-10-27T16:00:00.000Z</x:v>
      </x:c>
      <x:c r="G45" s="2" t="str">
        <x:f>IF(F45&lt;=E45,"Đúng hẹn","Trễ hẹn")</x:f>
        <x:v>Đúng hẹn</x:v>
      </x:c>
    </x:row>
    <x:row r="46" ht="24" customHeight="1">
      <x:c r="A46" s="11" t="str">
        <x:v>FM000045</x:v>
      </x:c>
      <x:c r="B46" s="12" t="str">
        <x:f>TRIM(CLEAN(SUBSTITUTE(A46,CHAR(160)," ")))</x:f>
        <x:v>FM000045</x:v>
      </x:c>
      <x:c r="C46" s="14" t="n">
        <x:f>IF(B46="","Thiếu mã",IFERROR(VLOOKUP(B46,'GiaCuoc'!$A$2:$B$501,2,FALSE),"Cần kiểm tra mã"))</x:f>
        <x:v>20000</x:v>
      </x:c>
      <x:c r="D46" s="2" t="str">
        <x:v>Nội thành</x:v>
      </x:c>
      <x:c r="E46" s="10" t="d">
        <x:v>2026-10-27T17:00:00.000Z</x:v>
      </x:c>
      <x:c r="F46" s="10" t="d">
        <x:v>2026-10-27T16:00:00.000Z</x:v>
      </x:c>
      <x:c r="G46" s="2" t="str">
        <x:f>IF(F46&lt;=E46,"Đúng hẹn","Trễ hẹn")</x:f>
        <x:v>Đúng hẹn</x:v>
      </x:c>
    </x:row>
    <x:row r="47" ht="24" customHeight="1">
      <x:c r="A47" s="11" t="str">
        <x:v>FM000046</x:v>
      </x:c>
      <x:c r="B47" s="12" t="str">
        <x:f>TRIM(CLEAN(SUBSTITUTE(A47,CHAR(160)," ")))</x:f>
        <x:v>FM000046</x:v>
      </x:c>
      <x:c r="C47" s="14" t="n">
        <x:f>IF(B47="","Thiếu mã",IFERROR(VLOOKUP(B47,'GiaCuoc'!$A$2:$B$501,2,FALSE),"Cần kiểm tra mã"))</x:f>
        <x:v>20000</x:v>
      </x:c>
      <x:c r="D47" s="2" t="str">
        <x:v>Nội thành</x:v>
      </x:c>
      <x:c r="E47" s="10" t="d">
        <x:v>2026-10-27T17:00:00.000Z</x:v>
      </x:c>
      <x:c r="F47" s="10" t="d">
        <x:v>2026-10-27T16:00:00.000Z</x:v>
      </x:c>
      <x:c r="G47" s="2" t="str">
        <x:f>IF(F47&lt;=E47,"Đúng hẹn","Trễ hẹn")</x:f>
        <x:v>Đúng hẹn</x:v>
      </x:c>
    </x:row>
    <x:row r="48" ht="24" customHeight="1">
      <x:c r="A48" s="11" t="str">
        <x:v>FM000047</x:v>
      </x:c>
      <x:c r="B48" s="12" t="str">
        <x:f>TRIM(CLEAN(SUBSTITUTE(A48,CHAR(160)," ")))</x:f>
        <x:v>FM000047</x:v>
      </x:c>
      <x:c r="C48" s="14" t="n">
        <x:f>IF(B48="","Thiếu mã",IFERROR(VLOOKUP(B48,'GiaCuoc'!$A$2:$B$501,2,FALSE),"Cần kiểm tra mã"))</x:f>
        <x:v>20000</x:v>
      </x:c>
      <x:c r="D48" s="2" t="str">
        <x:v>Nội thành</x:v>
      </x:c>
      <x:c r="E48" s="10" t="d">
        <x:v>2026-10-27T17:00:00.000Z</x:v>
      </x:c>
      <x:c r="F48" s="10" t="d">
        <x:v>2026-10-27T16:00:00.000Z</x:v>
      </x:c>
      <x:c r="G48" s="2" t="str">
        <x:f>IF(F48&lt;=E48,"Đúng hẹn","Trễ hẹn")</x:f>
        <x:v>Đúng hẹn</x:v>
      </x:c>
    </x:row>
    <x:row r="49" ht="24" customHeight="1">
      <x:c r="A49" s="11" t="str">
        <x:v>FM000048</x:v>
      </x:c>
      <x:c r="B49" s="12" t="str">
        <x:f>TRIM(CLEAN(SUBSTITUTE(A49,CHAR(160)," ")))</x:f>
        <x:v>FM000048</x:v>
      </x:c>
      <x:c r="C49" s="14" t="n">
        <x:f>IF(B49="","Thiếu mã",IFERROR(VLOOKUP(B49,'GiaCuoc'!$A$2:$B$501,2,FALSE),"Cần kiểm tra mã"))</x:f>
        <x:v>20000</x:v>
      </x:c>
      <x:c r="D49" s="2" t="str">
        <x:v>Nội thành</x:v>
      </x:c>
      <x:c r="E49" s="10" t="d">
        <x:v>2026-10-27T17:00:00.000Z</x:v>
      </x:c>
      <x:c r="F49" s="10" t="d">
        <x:v>2026-10-27T16:00:00.000Z</x:v>
      </x:c>
      <x:c r="G49" s="2" t="str">
        <x:f>IF(F49&lt;=E49,"Đúng hẹn","Trễ hẹn")</x:f>
        <x:v>Đúng hẹn</x:v>
      </x:c>
    </x:row>
    <x:row r="50" ht="24" customHeight="1">
      <x:c r="A50" s="11" t="str">
        <x:v>FM000049</x:v>
      </x:c>
      <x:c r="B50" s="12" t="str">
        <x:f>TRIM(CLEAN(SUBSTITUTE(A50,CHAR(160)," ")))</x:f>
        <x:v>FM000049</x:v>
      </x:c>
      <x:c r="C50" s="14" t="n">
        <x:f>IF(B50="","Thiếu mã",IFERROR(VLOOKUP(B50,'GiaCuoc'!$A$2:$B$501,2,FALSE),"Cần kiểm tra mã"))</x:f>
        <x:v>20000</x:v>
      </x:c>
      <x:c r="D50" s="2" t="str">
        <x:v>Nội thành</x:v>
      </x:c>
      <x:c r="E50" s="10" t="d">
        <x:v>2026-10-27T17:00:00.000Z</x:v>
      </x:c>
      <x:c r="F50" s="10" t="d">
        <x:v>2026-10-27T16:00:00.000Z</x:v>
      </x:c>
      <x:c r="G50" s="2" t="str">
        <x:f>IF(F50&lt;=E50,"Đúng hẹn","Trễ hẹn")</x:f>
        <x:v>Đúng hẹn</x:v>
      </x:c>
    </x:row>
    <x:row r="51" ht="24" customHeight="1">
      <x:c r="A51" s="11" t="str">
        <x:v>FM000050</x:v>
      </x:c>
      <x:c r="B51" s="12" t="str">
        <x:f>TRIM(CLEAN(SUBSTITUTE(A51,CHAR(160)," ")))</x:f>
        <x:v>FM000050</x:v>
      </x:c>
      <x:c r="C51" s="14" t="n">
        <x:f>IF(B51="","Thiếu mã",IFERROR(VLOOKUP(B51,'GiaCuoc'!$A$2:$B$501,2,FALSE),"Cần kiểm tra mã"))</x:f>
        <x:v>20000</x:v>
      </x:c>
      <x:c r="D51" s="2" t="str">
        <x:v>Nội thành</x:v>
      </x:c>
      <x:c r="E51" s="10" t="d">
        <x:v>2026-10-27T17:00:00.000Z</x:v>
      </x:c>
      <x:c r="F51" s="10" t="d">
        <x:v>2026-10-27T16:00:00.000Z</x:v>
      </x:c>
      <x:c r="G51" s="2" t="str">
        <x:f>IF(F51&lt;=E51,"Đúng hẹn","Trễ hẹn")</x:f>
        <x:v>Đúng hẹn</x:v>
      </x:c>
    </x:row>
    <x:row r="52" ht="24" customHeight="1">
      <x:c r="A52" s="11" t="str">
        <x:v>FM000051</x:v>
      </x:c>
      <x:c r="B52" s="12" t="str">
        <x:f>TRIM(CLEAN(SUBSTITUTE(A52,CHAR(160)," ")))</x:f>
        <x:v>FM000051</x:v>
      </x:c>
      <x:c r="C52" s="14" t="n">
        <x:f>IF(B52="","Thiếu mã",IFERROR(VLOOKUP(B52,'GiaCuoc'!$A$2:$B$501,2,FALSE),"Cần kiểm tra mã"))</x:f>
        <x:v>20000</x:v>
      </x:c>
      <x:c r="D52" s="2" t="str">
        <x:v>Nội thành</x:v>
      </x:c>
      <x:c r="E52" s="10" t="d">
        <x:v>2026-10-27T17:00:00.000Z</x:v>
      </x:c>
      <x:c r="F52" s="10" t="d">
        <x:v>2026-10-27T16:00:00.000Z</x:v>
      </x:c>
      <x:c r="G52" s="2" t="str">
        <x:f>IF(F52&lt;=E52,"Đúng hẹn","Trễ hẹn")</x:f>
        <x:v>Đúng hẹn</x:v>
      </x:c>
    </x:row>
    <x:row r="53" ht="24" customHeight="1">
      <x:c r="A53" s="11" t="str">
        <x:v>FM000052</x:v>
      </x:c>
      <x:c r="B53" s="12" t="str">
        <x:f>TRIM(CLEAN(SUBSTITUTE(A53,CHAR(160)," ")))</x:f>
        <x:v>FM000052</x:v>
      </x:c>
      <x:c r="C53" s="14" t="n">
        <x:f>IF(B53="","Thiếu mã",IFERROR(VLOOKUP(B53,'GiaCuoc'!$A$2:$B$501,2,FALSE),"Cần kiểm tra mã"))</x:f>
        <x:v>20000</x:v>
      </x:c>
      <x:c r="D53" s="2" t="str">
        <x:v>Nội thành</x:v>
      </x:c>
      <x:c r="E53" s="10" t="d">
        <x:v>2026-10-27T17:00:00.000Z</x:v>
      </x:c>
      <x:c r="F53" s="10" t="d">
        <x:v>2026-10-27T16:00:00.000Z</x:v>
      </x:c>
      <x:c r="G53" s="2" t="str">
        <x:f>IF(F53&lt;=E53,"Đúng hẹn","Trễ hẹn")</x:f>
        <x:v>Đúng hẹn</x:v>
      </x:c>
    </x:row>
    <x:row r="54" ht="24" customHeight="1">
      <x:c r="A54" s="11" t="str">
        <x:v>FM000053</x:v>
      </x:c>
      <x:c r="B54" s="12" t="str">
        <x:f>TRIM(CLEAN(SUBSTITUTE(A54,CHAR(160)," ")))</x:f>
        <x:v>FM000053</x:v>
      </x:c>
      <x:c r="C54" s="14" t="n">
        <x:f>IF(B54="","Thiếu mã",IFERROR(VLOOKUP(B54,'GiaCuoc'!$A$2:$B$501,2,FALSE),"Cần kiểm tra mã"))</x:f>
        <x:v>20000</x:v>
      </x:c>
      <x:c r="D54" s="2" t="str">
        <x:v>Nội thành</x:v>
      </x:c>
      <x:c r="E54" s="10" t="d">
        <x:v>2026-10-27T17:00:00.000Z</x:v>
      </x:c>
      <x:c r="F54" s="10" t="d">
        <x:v>2026-10-27T16:00:00.000Z</x:v>
      </x:c>
      <x:c r="G54" s="2" t="str">
        <x:f>IF(F54&lt;=E54,"Đúng hẹn","Trễ hẹn")</x:f>
        <x:v>Đúng hẹn</x:v>
      </x:c>
    </x:row>
    <x:row r="55" ht="24" customHeight="1">
      <x:c r="A55" s="11" t="str">
        <x:v>FM000054</x:v>
      </x:c>
      <x:c r="B55" s="12" t="str">
        <x:f>TRIM(CLEAN(SUBSTITUTE(A55,CHAR(160)," ")))</x:f>
        <x:v>FM000054</x:v>
      </x:c>
      <x:c r="C55" s="14" t="n">
        <x:f>IF(B55="","Thiếu mã",IFERROR(VLOOKUP(B55,'GiaCuoc'!$A$2:$B$501,2,FALSE),"Cần kiểm tra mã"))</x:f>
        <x:v>20000</x:v>
      </x:c>
      <x:c r="D55" s="2" t="str">
        <x:v>Nội thành</x:v>
      </x:c>
      <x:c r="E55" s="10" t="d">
        <x:v>2026-10-27T17:00:00.000Z</x:v>
      </x:c>
      <x:c r="F55" s="10" t="d">
        <x:v>2026-10-27T16:00:00.000Z</x:v>
      </x:c>
      <x:c r="G55" s="2" t="str">
        <x:f>IF(F55&lt;=E55,"Đúng hẹn","Trễ hẹn")</x:f>
        <x:v>Đúng hẹn</x:v>
      </x:c>
    </x:row>
    <x:row r="56" ht="24" customHeight="1">
      <x:c r="A56" s="11" t="str">
        <x:v>FM000055</x:v>
      </x:c>
      <x:c r="B56" s="12" t="str">
        <x:f>TRIM(CLEAN(SUBSTITUTE(A56,CHAR(160)," ")))</x:f>
        <x:v>FM000055</x:v>
      </x:c>
      <x:c r="C56" s="14" t="n">
        <x:f>IF(B56="","Thiếu mã",IFERROR(VLOOKUP(B56,'GiaCuoc'!$A$2:$B$501,2,FALSE),"Cần kiểm tra mã"))</x:f>
        <x:v>20000</x:v>
      </x:c>
      <x:c r="D56" s="2" t="str">
        <x:v>Nội thành</x:v>
      </x:c>
      <x:c r="E56" s="10" t="d">
        <x:v>2026-10-27T17:00:00.000Z</x:v>
      </x:c>
      <x:c r="F56" s="10" t="d">
        <x:v>2026-10-27T16:00:00.000Z</x:v>
      </x:c>
      <x:c r="G56" s="2" t="str">
        <x:f>IF(F56&lt;=E56,"Đúng hẹn","Trễ hẹn")</x:f>
        <x:v>Đúng hẹn</x:v>
      </x:c>
    </x:row>
    <x:row r="57" ht="24" customHeight="1">
      <x:c r="A57" s="11" t="str">
        <x:v>FM000056</x:v>
      </x:c>
      <x:c r="B57" s="12" t="str">
        <x:f>TRIM(CLEAN(SUBSTITUTE(A57,CHAR(160)," ")))</x:f>
        <x:v>FM000056</x:v>
      </x:c>
      <x:c r="C57" s="14" t="n">
        <x:f>IF(B57="","Thiếu mã",IFERROR(VLOOKUP(B57,'GiaCuoc'!$A$2:$B$501,2,FALSE),"Cần kiểm tra mã"))</x:f>
        <x:v>20000</x:v>
      </x:c>
      <x:c r="D57" s="2" t="str">
        <x:v>Nội thành</x:v>
      </x:c>
      <x:c r="E57" s="10" t="d">
        <x:v>2026-10-27T17:00:00.000Z</x:v>
      </x:c>
      <x:c r="F57" s="10" t="d">
        <x:v>2026-10-27T16:00:00.000Z</x:v>
      </x:c>
      <x:c r="G57" s="2" t="str">
        <x:f>IF(F57&lt;=E57,"Đúng hẹn","Trễ hẹn")</x:f>
        <x:v>Đúng hẹn</x:v>
      </x:c>
    </x:row>
    <x:row r="58" ht="24" customHeight="1">
      <x:c r="A58" s="11" t="str">
        <x:v>FM000057</x:v>
      </x:c>
      <x:c r="B58" s="12" t="str">
        <x:f>TRIM(CLEAN(SUBSTITUTE(A58,CHAR(160)," ")))</x:f>
        <x:v>FM000057</x:v>
      </x:c>
      <x:c r="C58" s="14" t="n">
        <x:f>IF(B58="","Thiếu mã",IFERROR(VLOOKUP(B58,'GiaCuoc'!$A$2:$B$501,2,FALSE),"Cần kiểm tra mã"))</x:f>
        <x:v>20000</x:v>
      </x:c>
      <x:c r="D58" s="2" t="str">
        <x:v>Nội thành</x:v>
      </x:c>
      <x:c r="E58" s="10" t="d">
        <x:v>2026-10-27T17:00:00.000Z</x:v>
      </x:c>
      <x:c r="F58" s="10" t="d">
        <x:v>2026-10-27T16:00:00.000Z</x:v>
      </x:c>
      <x:c r="G58" s="2" t="str">
        <x:f>IF(F58&lt;=E58,"Đúng hẹn","Trễ hẹn")</x:f>
        <x:v>Đúng hẹn</x:v>
      </x:c>
    </x:row>
    <x:row r="59" ht="24" customHeight="1">
      <x:c r="A59" s="11" t="str">
        <x:v>FM000058</x:v>
      </x:c>
      <x:c r="B59" s="12" t="str">
        <x:f>TRIM(CLEAN(SUBSTITUTE(A59,CHAR(160)," ")))</x:f>
        <x:v>FM000058</x:v>
      </x:c>
      <x:c r="C59" s="14" t="n">
        <x:f>IF(B59="","Thiếu mã",IFERROR(VLOOKUP(B59,'GiaCuoc'!$A$2:$B$501,2,FALSE),"Cần kiểm tra mã"))</x:f>
        <x:v>20000</x:v>
      </x:c>
      <x:c r="D59" s="2" t="str">
        <x:v>Nội thành</x:v>
      </x:c>
      <x:c r="E59" s="10" t="d">
        <x:v>2026-10-27T17:00:00.000Z</x:v>
      </x:c>
      <x:c r="F59" s="10" t="d">
        <x:v>2026-10-27T16:00:00.000Z</x:v>
      </x:c>
      <x:c r="G59" s="2" t="str">
        <x:f>IF(F59&lt;=E59,"Đúng hẹn","Trễ hẹn")</x:f>
        <x:v>Đúng hẹn</x:v>
      </x:c>
    </x:row>
    <x:row r="60" ht="24" customHeight="1">
      <x:c r="A60" s="11" t="str">
        <x:v>FM000059</x:v>
      </x:c>
      <x:c r="B60" s="12" t="str">
        <x:f>TRIM(CLEAN(SUBSTITUTE(A60,CHAR(160)," ")))</x:f>
        <x:v>FM000059</x:v>
      </x:c>
      <x:c r="C60" s="14" t="n">
        <x:f>IF(B60="","Thiếu mã",IFERROR(VLOOKUP(B60,'GiaCuoc'!$A$2:$B$501,2,FALSE),"Cần kiểm tra mã"))</x:f>
        <x:v>20000</x:v>
      </x:c>
      <x:c r="D60" s="2" t="str">
        <x:v>Nội thành</x:v>
      </x:c>
      <x:c r="E60" s="10" t="d">
        <x:v>2026-10-27T17:00:00.000Z</x:v>
      </x:c>
      <x:c r="F60" s="10" t="d">
        <x:v>2026-10-27T16:00:00.000Z</x:v>
      </x:c>
      <x:c r="G60" s="2" t="str">
        <x:f>IF(F60&lt;=E60,"Đúng hẹn","Trễ hẹn")</x:f>
        <x:v>Đúng hẹn</x:v>
      </x:c>
    </x:row>
    <x:row r="61" ht="24" customHeight="1">
      <x:c r="A61" s="11" t="str">
        <x:v>FM000060</x:v>
      </x:c>
      <x:c r="B61" s="12" t="str">
        <x:f>TRIM(CLEAN(SUBSTITUTE(A61,CHAR(160)," ")))</x:f>
        <x:v>FM000060</x:v>
      </x:c>
      <x:c r="C61" s="14" t="n">
        <x:f>IF(B61="","Thiếu mã",IFERROR(VLOOKUP(B61,'GiaCuoc'!$A$2:$B$501,2,FALSE),"Cần kiểm tra mã"))</x:f>
        <x:v>20000</x:v>
      </x:c>
      <x:c r="D61" s="2" t="str">
        <x:v>Nội thành</x:v>
      </x:c>
      <x:c r="E61" s="10" t="d">
        <x:v>2026-10-27T17:00:00.000Z</x:v>
      </x:c>
      <x:c r="F61" s="10" t="d">
        <x:v>2026-10-27T16:00:00.000Z</x:v>
      </x:c>
      <x:c r="G61" s="2" t="str">
        <x:f>IF(F61&lt;=E61,"Đúng hẹn","Trễ hẹn")</x:f>
        <x:v>Đúng hẹn</x:v>
      </x:c>
    </x:row>
    <x:row r="62" ht="24" customHeight="1">
      <x:c r="A62" s="11" t="str">
        <x:v>FM000061</x:v>
      </x:c>
      <x:c r="B62" s="12" t="str">
        <x:f>TRIM(CLEAN(SUBSTITUTE(A62,CHAR(160)," ")))</x:f>
        <x:v>FM000061</x:v>
      </x:c>
      <x:c r="C62" s="14" t="n">
        <x:f>IF(B62="","Thiếu mã",IFERROR(VLOOKUP(B62,'GiaCuoc'!$A$2:$B$501,2,FALSE),"Cần kiểm tra mã"))</x:f>
        <x:v>20000</x:v>
      </x:c>
      <x:c r="D62" s="2" t="str">
        <x:v>Nội thành</x:v>
      </x:c>
      <x:c r="E62" s="10" t="d">
        <x:v>2026-10-27T17:00:00.000Z</x:v>
      </x:c>
      <x:c r="F62" s="10" t="d">
        <x:v>2026-10-27T16:00:00.000Z</x:v>
      </x:c>
      <x:c r="G62" s="2" t="str">
        <x:f>IF(F62&lt;=E62,"Đúng hẹn","Trễ hẹn")</x:f>
        <x:v>Đúng hẹn</x:v>
      </x:c>
    </x:row>
    <x:row r="63" ht="24" customHeight="1">
      <x:c r="A63" s="11" t="str">
        <x:v>FM000062</x:v>
      </x:c>
      <x:c r="B63" s="12" t="str">
        <x:f>TRIM(CLEAN(SUBSTITUTE(A63,CHAR(160)," ")))</x:f>
        <x:v>FM000062</x:v>
      </x:c>
      <x:c r="C63" s="14" t="n">
        <x:f>IF(B63="","Thiếu mã",IFERROR(VLOOKUP(B63,'GiaCuoc'!$A$2:$B$501,2,FALSE),"Cần kiểm tra mã"))</x:f>
        <x:v>20000</x:v>
      </x:c>
      <x:c r="D63" s="2" t="str">
        <x:v>Nội thành</x:v>
      </x:c>
      <x:c r="E63" s="10" t="d">
        <x:v>2026-10-27T17:00:00.000Z</x:v>
      </x:c>
      <x:c r="F63" s="10" t="d">
        <x:v>2026-10-27T16:00:00.000Z</x:v>
      </x:c>
      <x:c r="G63" s="2" t="str">
        <x:f>IF(F63&lt;=E63,"Đúng hẹn","Trễ hẹn")</x:f>
        <x:v>Đúng hẹn</x:v>
      </x:c>
    </x:row>
    <x:row r="64" ht="24" customHeight="1">
      <x:c r="A64" s="11" t="str">
        <x:v>FM000063</x:v>
      </x:c>
      <x:c r="B64" s="12" t="str">
        <x:f>TRIM(CLEAN(SUBSTITUTE(A64,CHAR(160)," ")))</x:f>
        <x:v>FM000063</x:v>
      </x:c>
      <x:c r="C64" s="14" t="n">
        <x:f>IF(B64="","Thiếu mã",IFERROR(VLOOKUP(B64,'GiaCuoc'!$A$2:$B$501,2,FALSE),"Cần kiểm tra mã"))</x:f>
        <x:v>20000</x:v>
      </x:c>
      <x:c r="D64" s="2" t="str">
        <x:v>Nội thành</x:v>
      </x:c>
      <x:c r="E64" s="10" t="d">
        <x:v>2026-10-27T17:00:00.000Z</x:v>
      </x:c>
      <x:c r="F64" s="10" t="d">
        <x:v>2026-10-27T16:00:00.000Z</x:v>
      </x:c>
      <x:c r="G64" s="2" t="str">
        <x:f>IF(F64&lt;=E64,"Đúng hẹn","Trễ hẹn")</x:f>
        <x:v>Đúng hẹn</x:v>
      </x:c>
    </x:row>
    <x:row r="65" ht="24" customHeight="1">
      <x:c r="A65" s="11" t="str">
        <x:v>FM000064</x:v>
      </x:c>
      <x:c r="B65" s="12" t="str">
        <x:f>TRIM(CLEAN(SUBSTITUTE(A65,CHAR(160)," ")))</x:f>
        <x:v>FM000064</x:v>
      </x:c>
      <x:c r="C65" s="14" t="n">
        <x:f>IF(B65="","Thiếu mã",IFERROR(VLOOKUP(B65,'GiaCuoc'!$A$2:$B$501,2,FALSE),"Cần kiểm tra mã"))</x:f>
        <x:v>20000</x:v>
      </x:c>
      <x:c r="D65" s="2" t="str">
        <x:v>Nội thành</x:v>
      </x:c>
      <x:c r="E65" s="10" t="d">
        <x:v>2026-10-27T17:00:00.000Z</x:v>
      </x:c>
      <x:c r="F65" s="10" t="d">
        <x:v>2026-10-27T16:00:00.000Z</x:v>
      </x:c>
      <x:c r="G65" s="2" t="str">
        <x:f>IF(F65&lt;=E65,"Đúng hẹn","Trễ hẹn")</x:f>
        <x:v>Đúng hẹn</x:v>
      </x:c>
    </x:row>
    <x:row r="66" ht="24" customHeight="1">
      <x:c r="A66" s="11" t="str">
        <x:v>FM000065</x:v>
      </x:c>
      <x:c r="B66" s="12" t="str">
        <x:f>TRIM(CLEAN(SUBSTITUTE(A66,CHAR(160)," ")))</x:f>
        <x:v>FM000065</x:v>
      </x:c>
      <x:c r="C66" s="14" t="n">
        <x:f>IF(B66="","Thiếu mã",IFERROR(VLOOKUP(B66,'GiaCuoc'!$A$2:$B$501,2,FALSE),"Cần kiểm tra mã"))</x:f>
        <x:v>20000</x:v>
      </x:c>
      <x:c r="D66" s="2" t="str">
        <x:v>Nội thành</x:v>
      </x:c>
      <x:c r="E66" s="10" t="d">
        <x:v>2026-10-27T17:00:00.000Z</x:v>
      </x:c>
      <x:c r="F66" s="10" t="d">
        <x:v>2026-10-27T16:00:00.000Z</x:v>
      </x:c>
      <x:c r="G66" s="2" t="str">
        <x:f>IF(F66&lt;=E66,"Đúng hẹn","Trễ hẹn")</x:f>
        <x:v>Đúng hẹn</x:v>
      </x:c>
    </x:row>
    <x:row r="67" ht="24" customHeight="1">
      <x:c r="A67" s="11" t="str">
        <x:v>FM000066</x:v>
      </x:c>
      <x:c r="B67" s="12" t="str">
        <x:f>TRIM(CLEAN(SUBSTITUTE(A67,CHAR(160)," ")))</x:f>
        <x:v>FM000066</x:v>
      </x:c>
      <x:c r="C67" s="14" t="n">
        <x:f>IF(B67="","Thiếu mã",IFERROR(VLOOKUP(B67,'GiaCuoc'!$A$2:$B$501,2,FALSE),"Cần kiểm tra mã"))</x:f>
        <x:v>20000</x:v>
      </x:c>
      <x:c r="D67" s="2" t="str">
        <x:v>Nội thành</x:v>
      </x:c>
      <x:c r="E67" s="10" t="d">
        <x:v>2026-10-27T17:00:00.000Z</x:v>
      </x:c>
      <x:c r="F67" s="10" t="d">
        <x:v>2026-10-27T16:00:00.000Z</x:v>
      </x:c>
      <x:c r="G67" s="2" t="str">
        <x:f>IF(F67&lt;=E67,"Đúng hẹn","Trễ hẹn")</x:f>
        <x:v>Đúng hẹn</x:v>
      </x:c>
    </x:row>
    <x:row r="68" ht="24" customHeight="1">
      <x:c r="A68" s="11" t="str">
        <x:v>FM000067</x:v>
      </x:c>
      <x:c r="B68" s="12" t="str">
        <x:f>TRIM(CLEAN(SUBSTITUTE(A68,CHAR(160)," ")))</x:f>
        <x:v>FM000067</x:v>
      </x:c>
      <x:c r="C68" s="14" t="n">
        <x:f>IF(B68="","Thiếu mã",IFERROR(VLOOKUP(B68,'GiaCuoc'!$A$2:$B$501,2,FALSE),"Cần kiểm tra mã"))</x:f>
        <x:v>20000</x:v>
      </x:c>
      <x:c r="D68" s="2" t="str">
        <x:v>Nội thành</x:v>
      </x:c>
      <x:c r="E68" s="10" t="d">
        <x:v>2026-10-27T17:00:00.000Z</x:v>
      </x:c>
      <x:c r="F68" s="10" t="d">
        <x:v>2026-10-27T16:00:00.000Z</x:v>
      </x:c>
      <x:c r="G68" s="2" t="str">
        <x:f>IF(F68&lt;=E68,"Đúng hẹn","Trễ hẹn")</x:f>
        <x:v>Đúng hẹn</x:v>
      </x:c>
    </x:row>
    <x:row r="69" ht="24" customHeight="1">
      <x:c r="A69" s="11" t="str">
        <x:v>FM000068</x:v>
      </x:c>
      <x:c r="B69" s="12" t="str">
        <x:f>TRIM(CLEAN(SUBSTITUTE(A69,CHAR(160)," ")))</x:f>
        <x:v>FM000068</x:v>
      </x:c>
      <x:c r="C69" s="14" t="n">
        <x:f>IF(B69="","Thiếu mã",IFERROR(VLOOKUP(B69,'GiaCuoc'!$A$2:$B$501,2,FALSE),"Cần kiểm tra mã"))</x:f>
        <x:v>20000</x:v>
      </x:c>
      <x:c r="D69" s="2" t="str">
        <x:v>Nội thành</x:v>
      </x:c>
      <x:c r="E69" s="10" t="d">
        <x:v>2026-10-27T17:00:00.000Z</x:v>
      </x:c>
      <x:c r="F69" s="10" t="d">
        <x:v>2026-10-27T16:00:00.000Z</x:v>
      </x:c>
      <x:c r="G69" s="2" t="str">
        <x:f>IF(F69&lt;=E69,"Đúng hẹn","Trễ hẹn")</x:f>
        <x:v>Đúng hẹn</x:v>
      </x:c>
    </x:row>
    <x:row r="70" ht="24" customHeight="1">
      <x:c r="A70" s="11" t="str">
        <x:v>FM000069</x:v>
      </x:c>
      <x:c r="B70" s="12" t="str">
        <x:f>TRIM(CLEAN(SUBSTITUTE(A70,CHAR(160)," ")))</x:f>
        <x:v>FM000069</x:v>
      </x:c>
      <x:c r="C70" s="14" t="n">
        <x:f>IF(B70="","Thiếu mã",IFERROR(VLOOKUP(B70,'GiaCuoc'!$A$2:$B$501,2,FALSE),"Cần kiểm tra mã"))</x:f>
        <x:v>20000</x:v>
      </x:c>
      <x:c r="D70" s="2" t="str">
        <x:v>Nội thành</x:v>
      </x:c>
      <x:c r="E70" s="10" t="d">
        <x:v>2026-10-27T17:00:00.000Z</x:v>
      </x:c>
      <x:c r="F70" s="10" t="d">
        <x:v>2026-10-27T16:00:00.000Z</x:v>
      </x:c>
      <x:c r="G70" s="2" t="str">
        <x:f>IF(F70&lt;=E70,"Đúng hẹn","Trễ hẹn")</x:f>
        <x:v>Đúng hẹn</x:v>
      </x:c>
    </x:row>
    <x:row r="71" ht="24" customHeight="1">
      <x:c r="A71" s="11" t="str">
        <x:v>FM000070</x:v>
      </x:c>
      <x:c r="B71" s="12" t="str">
        <x:f>TRIM(CLEAN(SUBSTITUTE(A71,CHAR(160)," ")))</x:f>
        <x:v>FM000070</x:v>
      </x:c>
      <x:c r="C71" s="14" t="n">
        <x:f>IF(B71="","Thiếu mã",IFERROR(VLOOKUP(B71,'GiaCuoc'!$A$2:$B$501,2,FALSE),"Cần kiểm tra mã"))</x:f>
        <x:v>20000</x:v>
      </x:c>
      <x:c r="D71" s="2" t="str">
        <x:v>Nội thành</x:v>
      </x:c>
      <x:c r="E71" s="10" t="d">
        <x:v>2026-10-27T17:00:00.000Z</x:v>
      </x:c>
      <x:c r="F71" s="10" t="d">
        <x:v>2026-10-27T16:00:00.000Z</x:v>
      </x:c>
      <x:c r="G71" s="2" t="str">
        <x:f>IF(F71&lt;=E71,"Đúng hẹn","Trễ hẹn")</x:f>
        <x:v>Đúng hẹn</x:v>
      </x:c>
    </x:row>
    <x:row r="72" ht="24" customHeight="1">
      <x:c r="A72" s="11" t="str">
        <x:v>FM000071</x:v>
      </x:c>
      <x:c r="B72" s="12" t="str">
        <x:f>TRIM(CLEAN(SUBSTITUTE(A72,CHAR(160)," ")))</x:f>
        <x:v>FM000071</x:v>
      </x:c>
      <x:c r="C72" s="14" t="n">
        <x:f>IF(B72="","Thiếu mã",IFERROR(VLOOKUP(B72,'GiaCuoc'!$A$2:$B$501,2,FALSE),"Cần kiểm tra mã"))</x:f>
        <x:v>20000</x:v>
      </x:c>
      <x:c r="D72" s="2" t="str">
        <x:v>Nội thành</x:v>
      </x:c>
      <x:c r="E72" s="10" t="d">
        <x:v>2026-10-27T17:00:00.000Z</x:v>
      </x:c>
      <x:c r="F72" s="10" t="d">
        <x:v>2026-10-27T16:00:00.000Z</x:v>
      </x:c>
      <x:c r="G72" s="2" t="str">
        <x:f>IF(F72&lt;=E72,"Đúng hẹn","Trễ hẹn")</x:f>
        <x:v>Đúng hẹn</x:v>
      </x:c>
    </x:row>
    <x:row r="73" ht="24" customHeight="1">
      <x:c r="A73" s="11" t="str">
        <x:v>FM000072</x:v>
      </x:c>
      <x:c r="B73" s="12" t="str">
        <x:f>TRIM(CLEAN(SUBSTITUTE(A73,CHAR(160)," ")))</x:f>
        <x:v>FM000072</x:v>
      </x:c>
      <x:c r="C73" s="14" t="n">
        <x:f>IF(B73="","Thiếu mã",IFERROR(VLOOKUP(B73,'GiaCuoc'!$A$2:$B$501,2,FALSE),"Cần kiểm tra mã"))</x:f>
        <x:v>20000</x:v>
      </x:c>
      <x:c r="D73" s="2" t="str">
        <x:v>Nội thành</x:v>
      </x:c>
      <x:c r="E73" s="10" t="d">
        <x:v>2026-10-27T17:00:00.000Z</x:v>
      </x:c>
      <x:c r="F73" s="10" t="d">
        <x:v>2026-10-27T16:00:00.000Z</x:v>
      </x:c>
      <x:c r="G73" s="2" t="str">
        <x:f>IF(F73&lt;=E73,"Đúng hẹn","Trễ hẹn")</x:f>
        <x:v>Đúng hẹn</x:v>
      </x:c>
    </x:row>
    <x:row r="74" ht="24" customHeight="1">
      <x:c r="A74" s="11" t="str">
        <x:v>FM000073</x:v>
      </x:c>
      <x:c r="B74" s="12" t="str">
        <x:f>TRIM(CLEAN(SUBSTITUTE(A74,CHAR(160)," ")))</x:f>
        <x:v>FM000073</x:v>
      </x:c>
      <x:c r="C74" s="14" t="n">
        <x:f>IF(B74="","Thiếu mã",IFERROR(VLOOKUP(B74,'GiaCuoc'!$A$2:$B$501,2,FALSE),"Cần kiểm tra mã"))</x:f>
        <x:v>20000</x:v>
      </x:c>
      <x:c r="D74" s="2" t="str">
        <x:v>Nội thành</x:v>
      </x:c>
      <x:c r="E74" s="10" t="d">
        <x:v>2026-10-27T17:00:00.000Z</x:v>
      </x:c>
      <x:c r="F74" s="10" t="d">
        <x:v>2026-10-27T16:00:00.000Z</x:v>
      </x:c>
      <x:c r="G74" s="2" t="str">
        <x:f>IF(F74&lt;=E74,"Đúng hẹn","Trễ hẹn")</x:f>
        <x:v>Đúng hẹn</x:v>
      </x:c>
    </x:row>
    <x:row r="75" ht="24" customHeight="1">
      <x:c r="A75" s="11" t="str">
        <x:v>FM000074</x:v>
      </x:c>
      <x:c r="B75" s="12" t="str">
        <x:f>TRIM(CLEAN(SUBSTITUTE(A75,CHAR(160)," ")))</x:f>
        <x:v>FM000074</x:v>
      </x:c>
      <x:c r="C75" s="14" t="n">
        <x:f>IF(B75="","Thiếu mã",IFERROR(VLOOKUP(B75,'GiaCuoc'!$A$2:$B$501,2,FALSE),"Cần kiểm tra mã"))</x:f>
        <x:v>20000</x:v>
      </x:c>
      <x:c r="D75" s="2" t="str">
        <x:v>Nội thành</x:v>
      </x:c>
      <x:c r="E75" s="10" t="d">
        <x:v>2026-10-27T17:00:00.000Z</x:v>
      </x:c>
      <x:c r="F75" s="10" t="d">
        <x:v>2026-10-27T16:00:00.000Z</x:v>
      </x:c>
      <x:c r="G75" s="2" t="str">
        <x:f>IF(F75&lt;=E75,"Đúng hẹn","Trễ hẹn")</x:f>
        <x:v>Đúng hẹn</x:v>
      </x:c>
    </x:row>
    <x:row r="76" ht="24" customHeight="1">
      <x:c r="A76" s="11" t="str">
        <x:v>FM000075</x:v>
      </x:c>
      <x:c r="B76" s="12" t="str">
        <x:f>TRIM(CLEAN(SUBSTITUTE(A76,CHAR(160)," ")))</x:f>
        <x:v>FM000075</x:v>
      </x:c>
      <x:c r="C76" s="14" t="n">
        <x:f>IF(B76="","Thiếu mã",IFERROR(VLOOKUP(B76,'GiaCuoc'!$A$2:$B$501,2,FALSE),"Cần kiểm tra mã"))</x:f>
        <x:v>20000</x:v>
      </x:c>
      <x:c r="D76" s="2" t="str">
        <x:v>Nội thành</x:v>
      </x:c>
      <x:c r="E76" s="10" t="d">
        <x:v>2026-10-27T17:00:00.000Z</x:v>
      </x:c>
      <x:c r="F76" s="10" t="d">
        <x:v>2026-10-27T16:00:00.000Z</x:v>
      </x:c>
      <x:c r="G76" s="2" t="str">
        <x:f>IF(F76&lt;=E76,"Đúng hẹn","Trễ hẹn")</x:f>
        <x:v>Đúng hẹn</x:v>
      </x:c>
    </x:row>
    <x:row r="77" ht="24" customHeight="1">
      <x:c r="A77" s="11" t="str">
        <x:v>FM000076</x:v>
      </x:c>
      <x:c r="B77" s="12" t="str">
        <x:f>TRIM(CLEAN(SUBSTITUTE(A77,CHAR(160)," ")))</x:f>
        <x:v>FM000076</x:v>
      </x:c>
      <x:c r="C77" s="14" t="n">
        <x:f>IF(B77="","Thiếu mã",IFERROR(VLOOKUP(B77,'GiaCuoc'!$A$2:$B$501,2,FALSE),"Cần kiểm tra mã"))</x:f>
        <x:v>20000</x:v>
      </x:c>
      <x:c r="D77" s="2" t="str">
        <x:v>Nội thành</x:v>
      </x:c>
      <x:c r="E77" s="10" t="d">
        <x:v>2026-10-27T17:00:00.000Z</x:v>
      </x:c>
      <x:c r="F77" s="10" t="d">
        <x:v>2026-10-27T16:00:00.000Z</x:v>
      </x:c>
      <x:c r="G77" s="2" t="str">
        <x:f>IF(F77&lt;=E77,"Đúng hẹn","Trễ hẹn")</x:f>
        <x:v>Đúng hẹn</x:v>
      </x:c>
    </x:row>
    <x:row r="78" ht="24" customHeight="1">
      <x:c r="A78" s="11" t="str">
        <x:v>FM000077</x:v>
      </x:c>
      <x:c r="B78" s="12" t="str">
        <x:f>TRIM(CLEAN(SUBSTITUTE(A78,CHAR(160)," ")))</x:f>
        <x:v>FM000077</x:v>
      </x:c>
      <x:c r="C78" s="14" t="n">
        <x:f>IF(B78="","Thiếu mã",IFERROR(VLOOKUP(B78,'GiaCuoc'!$A$2:$B$501,2,FALSE),"Cần kiểm tra mã"))</x:f>
        <x:v>20000</x:v>
      </x:c>
      <x:c r="D78" s="2" t="str">
        <x:v>Nội thành</x:v>
      </x:c>
      <x:c r="E78" s="10" t="d">
        <x:v>2026-10-27T17:00:00.000Z</x:v>
      </x:c>
      <x:c r="F78" s="10" t="d">
        <x:v>2026-10-27T16:00:00.000Z</x:v>
      </x:c>
      <x:c r="G78" s="2" t="str">
        <x:f>IF(F78&lt;=E78,"Đúng hẹn","Trễ hẹn")</x:f>
        <x:v>Đúng hẹn</x:v>
      </x:c>
    </x:row>
    <x:row r="79" ht="24" customHeight="1">
      <x:c r="A79" s="11" t="str">
        <x:v>FM000078</x:v>
      </x:c>
      <x:c r="B79" s="12" t="str">
        <x:f>TRIM(CLEAN(SUBSTITUTE(A79,CHAR(160)," ")))</x:f>
        <x:v>FM000078</x:v>
      </x:c>
      <x:c r="C79" s="14" t="n">
        <x:f>IF(B79="","Thiếu mã",IFERROR(VLOOKUP(B79,'GiaCuoc'!$A$2:$B$501,2,FALSE),"Cần kiểm tra mã"))</x:f>
        <x:v>20000</x:v>
      </x:c>
      <x:c r="D79" s="2" t="str">
        <x:v>Nội thành</x:v>
      </x:c>
      <x:c r="E79" s="10" t="d">
        <x:v>2026-10-27T17:00:00.000Z</x:v>
      </x:c>
      <x:c r="F79" s="10" t="d">
        <x:v>2026-10-27T16:00:00.000Z</x:v>
      </x:c>
      <x:c r="G79" s="2" t="str">
        <x:f>IF(F79&lt;=E79,"Đúng hẹn","Trễ hẹn")</x:f>
        <x:v>Đúng hẹn</x:v>
      </x:c>
    </x:row>
    <x:row r="80" ht="24" customHeight="1">
      <x:c r="A80" s="11" t="str">
        <x:v>FM000079</x:v>
      </x:c>
      <x:c r="B80" s="12" t="str">
        <x:f>TRIM(CLEAN(SUBSTITUTE(A80,CHAR(160)," ")))</x:f>
        <x:v>FM000079</x:v>
      </x:c>
      <x:c r="C80" s="14" t="n">
        <x:f>IF(B80="","Thiếu mã",IFERROR(VLOOKUP(B80,'GiaCuoc'!$A$2:$B$501,2,FALSE),"Cần kiểm tra mã"))</x:f>
        <x:v>20000</x:v>
      </x:c>
      <x:c r="D80" s="2" t="str">
        <x:v>Nội thành</x:v>
      </x:c>
      <x:c r="E80" s="10" t="d">
        <x:v>2026-10-27T17:00:00.000Z</x:v>
      </x:c>
      <x:c r="F80" s="10" t="d">
        <x:v>2026-10-27T16:00:00.000Z</x:v>
      </x:c>
      <x:c r="G80" s="2" t="str">
        <x:f>IF(F80&lt;=E80,"Đúng hẹn","Trễ hẹn")</x:f>
        <x:v>Đúng hẹn</x:v>
      </x:c>
    </x:row>
    <x:row r="81" ht="24" customHeight="1">
      <x:c r="A81" s="11" t="str">
        <x:v>FM000080</x:v>
      </x:c>
      <x:c r="B81" s="12" t="str">
        <x:f>TRIM(CLEAN(SUBSTITUTE(A81,CHAR(160)," ")))</x:f>
        <x:v>FM000080</x:v>
      </x:c>
      <x:c r="C81" s="14" t="n">
        <x:f>IF(B81="","Thiếu mã",IFERROR(VLOOKUP(B81,'GiaCuoc'!$A$2:$B$501,2,FALSE),"Cần kiểm tra mã"))</x:f>
        <x:v>20000</x:v>
      </x:c>
      <x:c r="D81" s="2" t="str">
        <x:v>Nội thành</x:v>
      </x:c>
      <x:c r="E81" s="10" t="d">
        <x:v>2026-10-27T17:00:00.000Z</x:v>
      </x:c>
      <x:c r="F81" s="10" t="d">
        <x:v>2026-10-27T16:00:00.000Z</x:v>
      </x:c>
      <x:c r="G81" s="2" t="str">
        <x:f>IF(F81&lt;=E81,"Đúng hẹn","Trễ hẹn")</x:f>
        <x:v>Đúng hẹn</x:v>
      </x:c>
    </x:row>
    <x:row r="82" ht="24" customHeight="1">
      <x:c r="A82" s="11" t="str">
        <x:v>FM000081</x:v>
      </x:c>
      <x:c r="B82" s="12" t="str">
        <x:f>TRIM(CLEAN(SUBSTITUTE(A82,CHAR(160)," ")))</x:f>
        <x:v>FM000081</x:v>
      </x:c>
      <x:c r="C82" s="14" t="n">
        <x:f>IF(B82="","Thiếu mã",IFERROR(VLOOKUP(B82,'GiaCuoc'!$A$2:$B$501,2,FALSE),"Cần kiểm tra mã"))</x:f>
        <x:v>20000</x:v>
      </x:c>
      <x:c r="D82" s="2" t="str">
        <x:v>Nội thành</x:v>
      </x:c>
      <x:c r="E82" s="10" t="d">
        <x:v>2026-10-27T17:00:00.000Z</x:v>
      </x:c>
      <x:c r="F82" s="10" t="d">
        <x:v>2026-10-27T16:00:00.000Z</x:v>
      </x:c>
      <x:c r="G82" s="2" t="str">
        <x:f>IF(F82&lt;=E82,"Đúng hẹn","Trễ hẹn")</x:f>
        <x:v>Đúng hẹn</x:v>
      </x:c>
    </x:row>
    <x:row r="83" ht="24" customHeight="1">
      <x:c r="A83" s="11" t="str">
        <x:v>FM000082</x:v>
      </x:c>
      <x:c r="B83" s="12" t="str">
        <x:f>TRIM(CLEAN(SUBSTITUTE(A83,CHAR(160)," ")))</x:f>
        <x:v>FM000082</x:v>
      </x:c>
      <x:c r="C83" s="14" t="n">
        <x:f>IF(B83="","Thiếu mã",IFERROR(VLOOKUP(B83,'GiaCuoc'!$A$2:$B$501,2,FALSE),"Cần kiểm tra mã"))</x:f>
        <x:v>20000</x:v>
      </x:c>
      <x:c r="D83" s="2" t="str">
        <x:v>Nội thành</x:v>
      </x:c>
      <x:c r="E83" s="10" t="d">
        <x:v>2026-10-27T17:00:00.000Z</x:v>
      </x:c>
      <x:c r="F83" s="10" t="d">
        <x:v>2026-10-27T16:00:00.000Z</x:v>
      </x:c>
      <x:c r="G83" s="2" t="str">
        <x:f>IF(F83&lt;=E83,"Đúng hẹn","Trễ hẹn")</x:f>
        <x:v>Đúng hẹn</x:v>
      </x:c>
    </x:row>
    <x:row r="84" ht="24" customHeight="1">
      <x:c r="A84" s="11" t="str">
        <x:v>FM000083</x:v>
      </x:c>
      <x:c r="B84" s="12" t="str">
        <x:f>TRIM(CLEAN(SUBSTITUTE(A84,CHAR(160)," ")))</x:f>
        <x:v>FM000083</x:v>
      </x:c>
      <x:c r="C84" s="14" t="n">
        <x:f>IF(B84="","Thiếu mã",IFERROR(VLOOKUP(B84,'GiaCuoc'!$A$2:$B$501,2,FALSE),"Cần kiểm tra mã"))</x:f>
        <x:v>20000</x:v>
      </x:c>
      <x:c r="D84" s="2" t="str">
        <x:v>Nội thành</x:v>
      </x:c>
      <x:c r="E84" s="10" t="d">
        <x:v>2026-10-27T17:00:00.000Z</x:v>
      </x:c>
      <x:c r="F84" s="10" t="d">
        <x:v>2026-10-27T16:00:00.000Z</x:v>
      </x:c>
      <x:c r="G84" s="2" t="str">
        <x:f>IF(F84&lt;=E84,"Đúng hẹn","Trễ hẹn")</x:f>
        <x:v>Đúng hẹn</x:v>
      </x:c>
    </x:row>
    <x:row r="85" ht="24" customHeight="1">
      <x:c r="A85" s="11" t="str">
        <x:v>FM000084</x:v>
      </x:c>
      <x:c r="B85" s="12" t="str">
        <x:f>TRIM(CLEAN(SUBSTITUTE(A85,CHAR(160)," ")))</x:f>
        <x:v>FM000084</x:v>
      </x:c>
      <x:c r="C85" s="14" t="n">
        <x:f>IF(B85="","Thiếu mã",IFERROR(VLOOKUP(B85,'GiaCuoc'!$A$2:$B$501,2,FALSE),"Cần kiểm tra mã"))</x:f>
        <x:v>20000</x:v>
      </x:c>
      <x:c r="D85" s="2" t="str">
        <x:v>Nội thành</x:v>
      </x:c>
      <x:c r="E85" s="10" t="d">
        <x:v>2026-10-27T17:00:00.000Z</x:v>
      </x:c>
      <x:c r="F85" s="10" t="d">
        <x:v>2026-10-27T16:00:00.000Z</x:v>
      </x:c>
      <x:c r="G85" s="2" t="str">
        <x:f>IF(F85&lt;=E85,"Đúng hẹn","Trễ hẹn")</x:f>
        <x:v>Đúng hẹn</x:v>
      </x:c>
    </x:row>
    <x:row r="86" ht="24" customHeight="1">
      <x:c r="A86" s="11" t="str">
        <x:v>FM000085</x:v>
      </x:c>
      <x:c r="B86" s="12" t="str">
        <x:f>TRIM(CLEAN(SUBSTITUTE(A86,CHAR(160)," ")))</x:f>
        <x:v>FM000085</x:v>
      </x:c>
      <x:c r="C86" s="14" t="n">
        <x:f>IF(B86="","Thiếu mã",IFERROR(VLOOKUP(B86,'GiaCuoc'!$A$2:$B$501,2,FALSE),"Cần kiểm tra mã"))</x:f>
        <x:v>20000</x:v>
      </x:c>
      <x:c r="D86" s="2" t="str">
        <x:v>Nội thành</x:v>
      </x:c>
      <x:c r="E86" s="10" t="d">
        <x:v>2026-10-27T17:00:00.000Z</x:v>
      </x:c>
      <x:c r="F86" s="10" t="d">
        <x:v>2026-10-27T16:00:00.000Z</x:v>
      </x:c>
      <x:c r="G86" s="2" t="str">
        <x:f>IF(F86&lt;=E86,"Đúng hẹn","Trễ hẹn")</x:f>
        <x:v>Đúng hẹn</x:v>
      </x:c>
    </x:row>
    <x:row r="87" ht="24" customHeight="1">
      <x:c r="A87" s="11" t="str">
        <x:v>FM000086</x:v>
      </x:c>
      <x:c r="B87" s="12" t="str">
        <x:f>TRIM(CLEAN(SUBSTITUTE(A87,CHAR(160)," ")))</x:f>
        <x:v>FM000086</x:v>
      </x:c>
      <x:c r="C87" s="14" t="n">
        <x:f>IF(B87="","Thiếu mã",IFERROR(VLOOKUP(B87,'GiaCuoc'!$A$2:$B$501,2,FALSE),"Cần kiểm tra mã"))</x:f>
        <x:v>20000</x:v>
      </x:c>
      <x:c r="D87" s="2" t="str">
        <x:v>Nội thành</x:v>
      </x:c>
      <x:c r="E87" s="10" t="d">
        <x:v>2026-10-27T17:00:00.000Z</x:v>
      </x:c>
      <x:c r="F87" s="10" t="d">
        <x:v>2026-10-27T16:00:00.000Z</x:v>
      </x:c>
      <x:c r="G87" s="2" t="str">
        <x:f>IF(F87&lt;=E87,"Đúng hẹn","Trễ hẹn")</x:f>
        <x:v>Đúng hẹn</x:v>
      </x:c>
    </x:row>
    <x:row r="88" ht="24" customHeight="1">
      <x:c r="A88" s="11" t="str">
        <x:v>FM000087</x:v>
      </x:c>
      <x:c r="B88" s="12" t="str">
        <x:f>TRIM(CLEAN(SUBSTITUTE(A88,CHAR(160)," ")))</x:f>
        <x:v>FM000087</x:v>
      </x:c>
      <x:c r="C88" s="14" t="n">
        <x:f>IF(B88="","Thiếu mã",IFERROR(VLOOKUP(B88,'GiaCuoc'!$A$2:$B$501,2,FALSE),"Cần kiểm tra mã"))</x:f>
        <x:v>20000</x:v>
      </x:c>
      <x:c r="D88" s="2" t="str">
        <x:v>Nội thành</x:v>
      </x:c>
      <x:c r="E88" s="10" t="d">
        <x:v>2026-10-27T17:00:00.000Z</x:v>
      </x:c>
      <x:c r="F88" s="10" t="d">
        <x:v>2026-10-27T16:00:00.000Z</x:v>
      </x:c>
      <x:c r="G88" s="2" t="str">
        <x:f>IF(F88&lt;=E88,"Đúng hẹn","Trễ hẹn")</x:f>
        <x:v>Đúng hẹn</x:v>
      </x:c>
    </x:row>
    <x:row r="89" ht="24" customHeight="1">
      <x:c r="A89" s="11" t="str">
        <x:v>FM000088</x:v>
      </x:c>
      <x:c r="B89" s="12" t="str">
        <x:f>TRIM(CLEAN(SUBSTITUTE(A89,CHAR(160)," ")))</x:f>
        <x:v>FM000088</x:v>
      </x:c>
      <x:c r="C89" s="14" t="n">
        <x:f>IF(B89="","Thiếu mã",IFERROR(VLOOKUP(B89,'GiaCuoc'!$A$2:$B$501,2,FALSE),"Cần kiểm tra mã"))</x:f>
        <x:v>20000</x:v>
      </x:c>
      <x:c r="D89" s="2" t="str">
        <x:v>Nội thành</x:v>
      </x:c>
      <x:c r="E89" s="10" t="d">
        <x:v>2026-10-27T17:00:00.000Z</x:v>
      </x:c>
      <x:c r="F89" s="10" t="d">
        <x:v>2026-10-27T16:00:00.000Z</x:v>
      </x:c>
      <x:c r="G89" s="2" t="str">
        <x:f>IF(F89&lt;=E89,"Đúng hẹn","Trễ hẹn")</x:f>
        <x:v>Đúng hẹn</x:v>
      </x:c>
    </x:row>
    <x:row r="90" ht="24" customHeight="1">
      <x:c r="A90" s="11" t="str">
        <x:v>FM000089</x:v>
      </x:c>
      <x:c r="B90" s="12" t="str">
        <x:f>TRIM(CLEAN(SUBSTITUTE(A90,CHAR(160)," ")))</x:f>
        <x:v>FM000089</x:v>
      </x:c>
      <x:c r="C90" s="14" t="n">
        <x:f>IF(B90="","Thiếu mã",IFERROR(VLOOKUP(B90,'GiaCuoc'!$A$2:$B$501,2,FALSE),"Cần kiểm tra mã"))</x:f>
        <x:v>20000</x:v>
      </x:c>
      <x:c r="D90" s="2" t="str">
        <x:v>Nội thành</x:v>
      </x:c>
      <x:c r="E90" s="10" t="d">
        <x:v>2026-10-27T17:00:00.000Z</x:v>
      </x:c>
      <x:c r="F90" s="10" t="d">
        <x:v>2026-10-27T16:00:00.000Z</x:v>
      </x:c>
      <x:c r="G90" s="2" t="str">
        <x:f>IF(F90&lt;=E90,"Đúng hẹn","Trễ hẹn")</x:f>
        <x:v>Đúng hẹn</x:v>
      </x:c>
    </x:row>
    <x:row r="91" ht="24" customHeight="1">
      <x:c r="A91" s="11" t="str">
        <x:v>FM000090</x:v>
      </x:c>
      <x:c r="B91" s="12" t="str">
        <x:f>TRIM(CLEAN(SUBSTITUTE(A91,CHAR(160)," ")))</x:f>
        <x:v>FM000090</x:v>
      </x:c>
      <x:c r="C91" s="14" t="n">
        <x:f>IF(B91="","Thiếu mã",IFERROR(VLOOKUP(B91,'GiaCuoc'!$A$2:$B$501,2,FALSE),"Cần kiểm tra mã"))</x:f>
        <x:v>20000</x:v>
      </x:c>
      <x:c r="D91" s="2" t="str">
        <x:v>Nội thành</x:v>
      </x:c>
      <x:c r="E91" s="10" t="d">
        <x:v>2026-10-27T17:00:00.000Z</x:v>
      </x:c>
      <x:c r="F91" s="10" t="d">
        <x:v>2026-10-27T16:00:00.000Z</x:v>
      </x:c>
      <x:c r="G91" s="2" t="str">
        <x:f>IF(F91&lt;=E91,"Đúng hẹn","Trễ hẹn")</x:f>
        <x:v>Đúng hẹn</x:v>
      </x:c>
    </x:row>
    <x:row r="92" ht="24" customHeight="1">
      <x:c r="A92" s="11" t="str">
        <x:v>FM000091</x:v>
      </x:c>
      <x:c r="B92" s="12" t="str">
        <x:f>TRIM(CLEAN(SUBSTITUTE(A92,CHAR(160)," ")))</x:f>
        <x:v>FM000091</x:v>
      </x:c>
      <x:c r="C92" s="14" t="n">
        <x:f>IF(B92="","Thiếu mã",IFERROR(VLOOKUP(B92,'GiaCuoc'!$A$2:$B$501,2,FALSE),"Cần kiểm tra mã"))</x:f>
        <x:v>20000</x:v>
      </x:c>
      <x:c r="D92" s="2" t="str">
        <x:v>Nội thành</x:v>
      </x:c>
      <x:c r="E92" s="10" t="d">
        <x:v>2026-10-27T17:00:00.000Z</x:v>
      </x:c>
      <x:c r="F92" s="10" t="d">
        <x:v>2026-10-27T16:00:00.000Z</x:v>
      </x:c>
      <x:c r="G92" s="2" t="str">
        <x:f>IF(F92&lt;=E92,"Đúng hẹn","Trễ hẹn")</x:f>
        <x:v>Đúng hẹn</x:v>
      </x:c>
    </x:row>
    <x:row r="93" ht="24" customHeight="1">
      <x:c r="A93" s="11" t="str">
        <x:v>FM000092</x:v>
      </x:c>
      <x:c r="B93" s="12" t="str">
        <x:f>TRIM(CLEAN(SUBSTITUTE(A93,CHAR(160)," ")))</x:f>
        <x:v>FM000092</x:v>
      </x:c>
      <x:c r="C93" s="14" t="n">
        <x:f>IF(B93="","Thiếu mã",IFERROR(VLOOKUP(B93,'GiaCuoc'!$A$2:$B$501,2,FALSE),"Cần kiểm tra mã"))</x:f>
        <x:v>20000</x:v>
      </x:c>
      <x:c r="D93" s="2" t="str">
        <x:v>Nội thành</x:v>
      </x:c>
      <x:c r="E93" s="10" t="d">
        <x:v>2026-10-27T17:00:00.000Z</x:v>
      </x:c>
      <x:c r="F93" s="10" t="d">
        <x:v>2026-10-27T16:00:00.000Z</x:v>
      </x:c>
      <x:c r="G93" s="2" t="str">
        <x:f>IF(F93&lt;=E93,"Đúng hẹn","Trễ hẹn")</x:f>
        <x:v>Đúng hẹn</x:v>
      </x:c>
    </x:row>
    <x:row r="94" ht="24" customHeight="1">
      <x:c r="A94" s="11" t="str">
        <x:v>FM000093</x:v>
      </x:c>
      <x:c r="B94" s="12" t="str">
        <x:f>TRIM(CLEAN(SUBSTITUTE(A94,CHAR(160)," ")))</x:f>
        <x:v>FM000093</x:v>
      </x:c>
      <x:c r="C94" s="14" t="n">
        <x:f>IF(B94="","Thiếu mã",IFERROR(VLOOKUP(B94,'GiaCuoc'!$A$2:$B$501,2,FALSE),"Cần kiểm tra mã"))</x:f>
        <x:v>20000</x:v>
      </x:c>
      <x:c r="D94" s="2" t="str">
        <x:v>Nội thành</x:v>
      </x:c>
      <x:c r="E94" s="10" t="d">
        <x:v>2026-10-27T17:00:00.000Z</x:v>
      </x:c>
      <x:c r="F94" s="10" t="d">
        <x:v>2026-10-27T16:00:00.000Z</x:v>
      </x:c>
      <x:c r="G94" s="2" t="str">
        <x:f>IF(F94&lt;=E94,"Đúng hẹn","Trễ hẹn")</x:f>
        <x:v>Đúng hẹn</x:v>
      </x:c>
    </x:row>
    <x:row r="95" ht="24" customHeight="1">
      <x:c r="A95" s="11" t="str">
        <x:v>FM000094</x:v>
      </x:c>
      <x:c r="B95" s="12" t="str">
        <x:f>TRIM(CLEAN(SUBSTITUTE(A95,CHAR(160)," ")))</x:f>
        <x:v>FM000094</x:v>
      </x:c>
      <x:c r="C95" s="14" t="n">
        <x:f>IF(B95="","Thiếu mã",IFERROR(VLOOKUP(B95,'GiaCuoc'!$A$2:$B$501,2,FALSE),"Cần kiểm tra mã"))</x:f>
        <x:v>20000</x:v>
      </x:c>
      <x:c r="D95" s="2" t="str">
        <x:v>Nội thành</x:v>
      </x:c>
      <x:c r="E95" s="10" t="d">
        <x:v>2026-10-27T17:00:00.000Z</x:v>
      </x:c>
      <x:c r="F95" s="10" t="d">
        <x:v>2026-10-27T16:00:00.000Z</x:v>
      </x:c>
      <x:c r="G95" s="2" t="str">
        <x:f>IF(F95&lt;=E95,"Đúng hẹn","Trễ hẹn")</x:f>
        <x:v>Đúng hẹn</x:v>
      </x:c>
    </x:row>
    <x:row r="96" ht="24" customHeight="1">
      <x:c r="A96" s="11" t="str">
        <x:v>FM000095</x:v>
      </x:c>
      <x:c r="B96" s="12" t="str">
        <x:f>TRIM(CLEAN(SUBSTITUTE(A96,CHAR(160)," ")))</x:f>
        <x:v>FM000095</x:v>
      </x:c>
      <x:c r="C96" s="14" t="n">
        <x:f>IF(B96="","Thiếu mã",IFERROR(VLOOKUP(B96,'GiaCuoc'!$A$2:$B$501,2,FALSE),"Cần kiểm tra mã"))</x:f>
        <x:v>20000</x:v>
      </x:c>
      <x:c r="D96" s="2" t="str">
        <x:v>Nội thành</x:v>
      </x:c>
      <x:c r="E96" s="10" t="d">
        <x:v>2026-10-27T17:00:00.000Z</x:v>
      </x:c>
      <x:c r="F96" s="10" t="d">
        <x:v>2026-10-27T16:00:00.000Z</x:v>
      </x:c>
      <x:c r="G96" s="2" t="str">
        <x:f>IF(F96&lt;=E96,"Đúng hẹn","Trễ hẹn")</x:f>
        <x:v>Đúng hẹn</x:v>
      </x:c>
    </x:row>
    <x:row r="97" ht="24" customHeight="1">
      <x:c r="A97" s="11" t="str">
        <x:v>FM000096</x:v>
      </x:c>
      <x:c r="B97" s="12" t="str">
        <x:f>TRIM(CLEAN(SUBSTITUTE(A97,CHAR(160)," ")))</x:f>
        <x:v>FM000096</x:v>
      </x:c>
      <x:c r="C97" s="14" t="n">
        <x:f>IF(B97="","Thiếu mã",IFERROR(VLOOKUP(B97,'GiaCuoc'!$A$2:$B$501,2,FALSE),"Cần kiểm tra mã"))</x:f>
        <x:v>20000</x:v>
      </x:c>
      <x:c r="D97" s="2" t="str">
        <x:v>Nội thành</x:v>
      </x:c>
      <x:c r="E97" s="10" t="d">
        <x:v>2026-10-27T17:00:00.000Z</x:v>
      </x:c>
      <x:c r="F97" s="10" t="d">
        <x:v>2026-10-27T16:00:00.000Z</x:v>
      </x:c>
      <x:c r="G97" s="2" t="str">
        <x:f>IF(F97&lt;=E97,"Đúng hẹn","Trễ hẹn")</x:f>
        <x:v>Đúng hẹn</x:v>
      </x:c>
    </x:row>
    <x:row r="98" ht="24" customHeight="1">
      <x:c r="A98" s="11" t="str">
        <x:v>FM000097</x:v>
      </x:c>
      <x:c r="B98" s="12" t="str">
        <x:f>TRIM(CLEAN(SUBSTITUTE(A98,CHAR(160)," ")))</x:f>
        <x:v>FM000097</x:v>
      </x:c>
      <x:c r="C98" s="14" t="n">
        <x:f>IF(B98="","Thiếu mã",IFERROR(VLOOKUP(B98,'GiaCuoc'!$A$2:$B$501,2,FALSE),"Cần kiểm tra mã"))</x:f>
        <x:v>20000</x:v>
      </x:c>
      <x:c r="D98" s="2" t="str">
        <x:v>Nội thành</x:v>
      </x:c>
      <x:c r="E98" s="10" t="d">
        <x:v>2026-10-27T17:00:00.000Z</x:v>
      </x:c>
      <x:c r="F98" s="10" t="d">
        <x:v>2026-10-27T16:00:00.000Z</x:v>
      </x:c>
      <x:c r="G98" s="2" t="str">
        <x:f>IF(F98&lt;=E98,"Đúng hẹn","Trễ hẹn")</x:f>
        <x:v>Đúng hẹn</x:v>
      </x:c>
    </x:row>
    <x:row r="99" ht="24" customHeight="1">
      <x:c r="A99" s="11" t="str">
        <x:v>FM000098</x:v>
      </x:c>
      <x:c r="B99" s="12" t="str">
        <x:f>TRIM(CLEAN(SUBSTITUTE(A99,CHAR(160)," ")))</x:f>
        <x:v>FM000098</x:v>
      </x:c>
      <x:c r="C99" s="14" t="n">
        <x:f>IF(B99="","Thiếu mã",IFERROR(VLOOKUP(B99,'GiaCuoc'!$A$2:$B$501,2,FALSE),"Cần kiểm tra mã"))</x:f>
        <x:v>20000</x:v>
      </x:c>
      <x:c r="D99" s="2" t="str">
        <x:v>Nội thành</x:v>
      </x:c>
      <x:c r="E99" s="10" t="d">
        <x:v>2026-10-27T17:00:00.000Z</x:v>
      </x:c>
      <x:c r="F99" s="10" t="d">
        <x:v>2026-10-27T16:00:00.000Z</x:v>
      </x:c>
      <x:c r="G99" s="2" t="str">
        <x:f>IF(F99&lt;=E99,"Đúng hẹn","Trễ hẹn")</x:f>
        <x:v>Đúng hẹn</x:v>
      </x:c>
    </x:row>
    <x:row r="100" ht="24" customHeight="1">
      <x:c r="A100" s="11" t="str">
        <x:v>FM000099</x:v>
      </x:c>
      <x:c r="B100" s="12" t="str">
        <x:f>TRIM(CLEAN(SUBSTITUTE(A100,CHAR(160)," ")))</x:f>
        <x:v>FM000099</x:v>
      </x:c>
      <x:c r="C100" s="14" t="n">
        <x:f>IF(B100="","Thiếu mã",IFERROR(VLOOKUP(B100,'GiaCuoc'!$A$2:$B$501,2,FALSE),"Cần kiểm tra mã"))</x:f>
        <x:v>20000</x:v>
      </x:c>
      <x:c r="D100" s="2" t="str">
        <x:v>Nội thành</x:v>
      </x:c>
      <x:c r="E100" s="10" t="d">
        <x:v>2026-10-27T17:00:00.000Z</x:v>
      </x:c>
      <x:c r="F100" s="10" t="d">
        <x:v>2026-10-27T16:00:00.000Z</x:v>
      </x:c>
      <x:c r="G100" s="2" t="str">
        <x:f>IF(F100&lt;=E100,"Đúng hẹn","Trễ hẹn")</x:f>
        <x:v>Đúng hẹn</x:v>
      </x:c>
    </x:row>
    <x:row r="101" ht="24" customHeight="1">
      <x:c r="A101" s="11" t="str">
        <x:v>FM000100</x:v>
      </x:c>
      <x:c r="B101" s="12" t="str">
        <x:f>TRIM(CLEAN(SUBSTITUTE(A101,CHAR(160)," ")))</x:f>
        <x:v>FM000100</x:v>
      </x:c>
      <x:c r="C101" s="14" t="n">
        <x:f>IF(B101="","Thiếu mã",IFERROR(VLOOKUP(B101,'GiaCuoc'!$A$2:$B$501,2,FALSE),"Cần kiểm tra mã"))</x:f>
        <x:v>20000</x:v>
      </x:c>
      <x:c r="D101" s="2" t="str">
        <x:v>Nội thành</x:v>
      </x:c>
      <x:c r="E101" s="10" t="d">
        <x:v>2026-10-27T17:00:00.000Z</x:v>
      </x:c>
      <x:c r="F101" s="10" t="d">
        <x:v>2026-10-27T16:00:00.000Z</x:v>
      </x:c>
      <x:c r="G101" s="2" t="str">
        <x:f>IF(F101&lt;=E101,"Đúng hẹn","Trễ hẹn")</x:f>
        <x:v>Đúng hẹn</x:v>
      </x:c>
    </x:row>
    <x:row r="102" ht="24" customHeight="1">
      <x:c r="A102" s="11" t="str">
        <x:v>FM000101</x:v>
      </x:c>
      <x:c r="B102" s="12" t="str">
        <x:f>TRIM(CLEAN(SUBSTITUTE(A102,CHAR(160)," ")))</x:f>
        <x:v>FM000101</x:v>
      </x:c>
      <x:c r="C102" s="14" t="n">
        <x:f>IF(B102="","Thiếu mã",IFERROR(VLOOKUP(B102,'GiaCuoc'!$A$2:$B$501,2,FALSE),"Cần kiểm tra mã"))</x:f>
        <x:v>20000</x:v>
      </x:c>
      <x:c r="D102" s="2" t="str">
        <x:v>Nội thành</x:v>
      </x:c>
      <x:c r="E102" s="10" t="d">
        <x:v>2026-10-27T17:00:00.000Z</x:v>
      </x:c>
      <x:c r="F102" s="10" t="d">
        <x:v>2026-10-27T16:00:00.000Z</x:v>
      </x:c>
      <x:c r="G102" s="2" t="str">
        <x:f>IF(F102&lt;=E102,"Đúng hẹn","Trễ hẹn")</x:f>
        <x:v>Đúng hẹn</x:v>
      </x:c>
    </x:row>
    <x:row r="103" ht="24" customHeight="1">
      <x:c r="A103" s="11" t="str">
        <x:v>FM000102</x:v>
      </x:c>
      <x:c r="B103" s="12" t="str">
        <x:f>TRIM(CLEAN(SUBSTITUTE(A103,CHAR(160)," ")))</x:f>
        <x:v>FM000102</x:v>
      </x:c>
      <x:c r="C103" s="14" t="n">
        <x:f>IF(B103="","Thiếu mã",IFERROR(VLOOKUP(B103,'GiaCuoc'!$A$2:$B$501,2,FALSE),"Cần kiểm tra mã"))</x:f>
        <x:v>20000</x:v>
      </x:c>
      <x:c r="D103" s="2" t="str">
        <x:v>Nội thành</x:v>
      </x:c>
      <x:c r="E103" s="10" t="d">
        <x:v>2026-10-27T17:00:00.000Z</x:v>
      </x:c>
      <x:c r="F103" s="10" t="d">
        <x:v>2026-10-27T16:00:00.000Z</x:v>
      </x:c>
      <x:c r="G103" s="2" t="str">
        <x:f>IF(F103&lt;=E103,"Đúng hẹn","Trễ hẹn")</x:f>
        <x:v>Đúng hẹn</x:v>
      </x:c>
    </x:row>
    <x:row r="104" ht="24" customHeight="1">
      <x:c r="A104" s="11" t="str">
        <x:v>FM000103</x:v>
      </x:c>
      <x:c r="B104" s="12" t="str">
        <x:f>TRIM(CLEAN(SUBSTITUTE(A104,CHAR(160)," ")))</x:f>
        <x:v>FM000103</x:v>
      </x:c>
      <x:c r="C104" s="14" t="n">
        <x:f>IF(B104="","Thiếu mã",IFERROR(VLOOKUP(B104,'GiaCuoc'!$A$2:$B$501,2,FALSE),"Cần kiểm tra mã"))</x:f>
        <x:v>20000</x:v>
      </x:c>
      <x:c r="D104" s="2" t="str">
        <x:v>Nội thành</x:v>
      </x:c>
      <x:c r="E104" s="10" t="d">
        <x:v>2026-10-27T17:00:00.000Z</x:v>
      </x:c>
      <x:c r="F104" s="10" t="d">
        <x:v>2026-10-27T16:00:00.000Z</x:v>
      </x:c>
      <x:c r="G104" s="2" t="str">
        <x:f>IF(F104&lt;=E104,"Đúng hẹn","Trễ hẹn")</x:f>
        <x:v>Đúng hẹn</x:v>
      </x:c>
    </x:row>
    <x:row r="105" ht="24" customHeight="1">
      <x:c r="A105" s="11" t="str">
        <x:v>FM000104</x:v>
      </x:c>
      <x:c r="B105" s="12" t="str">
        <x:f>TRIM(CLEAN(SUBSTITUTE(A105,CHAR(160)," ")))</x:f>
        <x:v>FM000104</x:v>
      </x:c>
      <x:c r="C105" s="14" t="n">
        <x:f>IF(B105="","Thiếu mã",IFERROR(VLOOKUP(B105,'GiaCuoc'!$A$2:$B$501,2,FALSE),"Cần kiểm tra mã"))</x:f>
        <x:v>20000</x:v>
      </x:c>
      <x:c r="D105" s="2" t="str">
        <x:v>Nội thành</x:v>
      </x:c>
      <x:c r="E105" s="10" t="d">
        <x:v>2026-10-27T17:00:00.000Z</x:v>
      </x:c>
      <x:c r="F105" s="10" t="d">
        <x:v>2026-10-27T16:00:00.000Z</x:v>
      </x:c>
      <x:c r="G105" s="2" t="str">
        <x:f>IF(F105&lt;=E105,"Đúng hẹn","Trễ hẹn")</x:f>
        <x:v>Đúng hẹn</x:v>
      </x:c>
    </x:row>
    <x:row r="106" ht="24" customHeight="1">
      <x:c r="A106" s="11" t="str">
        <x:v>FM000105</x:v>
      </x:c>
      <x:c r="B106" s="12" t="str">
        <x:f>TRIM(CLEAN(SUBSTITUTE(A106,CHAR(160)," ")))</x:f>
        <x:v>FM000105</x:v>
      </x:c>
      <x:c r="C106" s="14" t="n">
        <x:f>IF(B106="","Thiếu mã",IFERROR(VLOOKUP(B106,'GiaCuoc'!$A$2:$B$501,2,FALSE),"Cần kiểm tra mã"))</x:f>
        <x:v>20000</x:v>
      </x:c>
      <x:c r="D106" s="2" t="str">
        <x:v>Nội thành</x:v>
      </x:c>
      <x:c r="E106" s="10" t="d">
        <x:v>2026-10-27T17:00:00.000Z</x:v>
      </x:c>
      <x:c r="F106" s="10" t="d">
        <x:v>2026-10-27T16:00:00.000Z</x:v>
      </x:c>
      <x:c r="G106" s="2" t="str">
        <x:f>IF(F106&lt;=E106,"Đúng hẹn","Trễ hẹn")</x:f>
        <x:v>Đúng hẹn</x:v>
      </x:c>
    </x:row>
    <x:row r="107" ht="24" customHeight="1">
      <x:c r="A107" s="11" t="str">
        <x:v>FM000106</x:v>
      </x:c>
      <x:c r="B107" s="12" t="str">
        <x:f>TRIM(CLEAN(SUBSTITUTE(A107,CHAR(160)," ")))</x:f>
        <x:v>FM000106</x:v>
      </x:c>
      <x:c r="C107" s="14" t="n">
        <x:f>IF(B107="","Thiếu mã",IFERROR(VLOOKUP(B107,'GiaCuoc'!$A$2:$B$501,2,FALSE),"Cần kiểm tra mã"))</x:f>
        <x:v>20000</x:v>
      </x:c>
      <x:c r="D107" s="2" t="str">
        <x:v>Nội thành</x:v>
      </x:c>
      <x:c r="E107" s="10" t="d">
        <x:v>2026-10-27T17:00:00.000Z</x:v>
      </x:c>
      <x:c r="F107" s="10" t="d">
        <x:v>2026-10-27T16:00:00.000Z</x:v>
      </x:c>
      <x:c r="G107" s="2" t="str">
        <x:f>IF(F107&lt;=E107,"Đúng hẹn","Trễ hẹn")</x:f>
        <x:v>Đúng hẹn</x:v>
      </x:c>
    </x:row>
    <x:row r="108" ht="24" customHeight="1">
      <x:c r="A108" s="11" t="str">
        <x:v>FM000107</x:v>
      </x:c>
      <x:c r="B108" s="12" t="str">
        <x:f>TRIM(CLEAN(SUBSTITUTE(A108,CHAR(160)," ")))</x:f>
        <x:v>FM000107</x:v>
      </x:c>
      <x:c r="C108" s="14" t="n">
        <x:f>IF(B108="","Thiếu mã",IFERROR(VLOOKUP(B108,'GiaCuoc'!$A$2:$B$501,2,FALSE),"Cần kiểm tra mã"))</x:f>
        <x:v>20000</x:v>
      </x:c>
      <x:c r="D108" s="2" t="str">
        <x:v>Nội thành</x:v>
      </x:c>
      <x:c r="E108" s="10" t="d">
        <x:v>2026-10-27T17:00:00.000Z</x:v>
      </x:c>
      <x:c r="F108" s="10" t="d">
        <x:v>2026-10-27T16:00:00.000Z</x:v>
      </x:c>
      <x:c r="G108" s="2" t="str">
        <x:f>IF(F108&lt;=E108,"Đúng hẹn","Trễ hẹn")</x:f>
        <x:v>Đúng hẹn</x:v>
      </x:c>
    </x:row>
    <x:row r="109" ht="24" customHeight="1">
      <x:c r="A109" s="11" t="str">
        <x:v>FM000108</x:v>
      </x:c>
      <x:c r="B109" s="12" t="str">
        <x:f>TRIM(CLEAN(SUBSTITUTE(A109,CHAR(160)," ")))</x:f>
        <x:v>FM000108</x:v>
      </x:c>
      <x:c r="C109" s="14" t="n">
        <x:f>IF(B109="","Thiếu mã",IFERROR(VLOOKUP(B109,'GiaCuoc'!$A$2:$B$501,2,FALSE),"Cần kiểm tra mã"))</x:f>
        <x:v>20000</x:v>
      </x:c>
      <x:c r="D109" s="2" t="str">
        <x:v>Nội thành</x:v>
      </x:c>
      <x:c r="E109" s="10" t="d">
        <x:v>2026-10-27T17:00:00.000Z</x:v>
      </x:c>
      <x:c r="F109" s="10" t="d">
        <x:v>2026-10-27T16:00:00.000Z</x:v>
      </x:c>
      <x:c r="G109" s="2" t="str">
        <x:f>IF(F109&lt;=E109,"Đúng hẹn","Trễ hẹn")</x:f>
        <x:v>Đúng hẹn</x:v>
      </x:c>
    </x:row>
    <x:row r="110" ht="24" customHeight="1">
      <x:c r="A110" s="11" t="str">
        <x:v>FM000109</x:v>
      </x:c>
      <x:c r="B110" s="12" t="str">
        <x:f>TRIM(CLEAN(SUBSTITUTE(A110,CHAR(160)," ")))</x:f>
        <x:v>FM000109</x:v>
      </x:c>
      <x:c r="C110" s="14" t="n">
        <x:f>IF(B110="","Thiếu mã",IFERROR(VLOOKUP(B110,'GiaCuoc'!$A$2:$B$501,2,FALSE),"Cần kiểm tra mã"))</x:f>
        <x:v>20000</x:v>
      </x:c>
      <x:c r="D110" s="2" t="str">
        <x:v>Nội thành</x:v>
      </x:c>
      <x:c r="E110" s="10" t="d">
        <x:v>2026-10-27T17:00:00.000Z</x:v>
      </x:c>
      <x:c r="F110" s="10" t="d">
        <x:v>2026-10-27T16:00:00.000Z</x:v>
      </x:c>
      <x:c r="G110" s="2" t="str">
        <x:f>IF(F110&lt;=E110,"Đúng hẹn","Trễ hẹn")</x:f>
        <x:v>Đúng hẹn</x:v>
      </x:c>
    </x:row>
    <x:row r="111" ht="24" customHeight="1">
      <x:c r="A111" s="11" t="str">
        <x:v>FM000110</x:v>
      </x:c>
      <x:c r="B111" s="12" t="str">
        <x:f>TRIM(CLEAN(SUBSTITUTE(A111,CHAR(160)," ")))</x:f>
        <x:v>FM000110</x:v>
      </x:c>
      <x:c r="C111" s="14" t="n">
        <x:f>IF(B111="","Thiếu mã",IFERROR(VLOOKUP(B111,'GiaCuoc'!$A$2:$B$501,2,FALSE),"Cần kiểm tra mã"))</x:f>
        <x:v>20000</x:v>
      </x:c>
      <x:c r="D111" s="2" t="str">
        <x:v>Nội thành</x:v>
      </x:c>
      <x:c r="E111" s="10" t="d">
        <x:v>2026-10-27T17:00:00.000Z</x:v>
      </x:c>
      <x:c r="F111" s="10" t="d">
        <x:v>2026-10-27T16:00:00.000Z</x:v>
      </x:c>
      <x:c r="G111" s="2" t="str">
        <x:f>IF(F111&lt;=E111,"Đúng hẹn","Trễ hẹn")</x:f>
        <x:v>Đúng hẹn</x:v>
      </x:c>
    </x:row>
    <x:row r="112" ht="24" customHeight="1">
      <x:c r="A112" s="11" t="str">
        <x:v>FM000111</x:v>
      </x:c>
      <x:c r="B112" s="12" t="str">
        <x:f>TRIM(CLEAN(SUBSTITUTE(A112,CHAR(160)," ")))</x:f>
        <x:v>FM000111</x:v>
      </x:c>
      <x:c r="C112" s="14" t="n">
        <x:f>IF(B112="","Thiếu mã",IFERROR(VLOOKUP(B112,'GiaCuoc'!$A$2:$B$501,2,FALSE),"Cần kiểm tra mã"))</x:f>
        <x:v>20000</x:v>
      </x:c>
      <x:c r="D112" s="2" t="str">
        <x:v>Nội thành</x:v>
      </x:c>
      <x:c r="E112" s="10" t="d">
        <x:v>2026-10-27T17:00:00.000Z</x:v>
      </x:c>
      <x:c r="F112" s="10" t="d">
        <x:v>2026-10-27T16:00:00.000Z</x:v>
      </x:c>
      <x:c r="G112" s="2" t="str">
        <x:f>IF(F112&lt;=E112,"Đúng hẹn","Trễ hẹn")</x:f>
        <x:v>Đúng hẹn</x:v>
      </x:c>
    </x:row>
    <x:row r="113" ht="24" customHeight="1">
      <x:c r="A113" s="11" t="str">
        <x:v>FM000112</x:v>
      </x:c>
      <x:c r="B113" s="12" t="str">
        <x:f>TRIM(CLEAN(SUBSTITUTE(A113,CHAR(160)," ")))</x:f>
        <x:v>FM000112</x:v>
      </x:c>
      <x:c r="C113" s="14" t="n">
        <x:f>IF(B113="","Thiếu mã",IFERROR(VLOOKUP(B113,'GiaCuoc'!$A$2:$B$501,2,FALSE),"Cần kiểm tra mã"))</x:f>
        <x:v>20000</x:v>
      </x:c>
      <x:c r="D113" s="2" t="str">
        <x:v>Nội thành</x:v>
      </x:c>
      <x:c r="E113" s="10" t="d">
        <x:v>2026-10-27T17:00:00.000Z</x:v>
      </x:c>
      <x:c r="F113" s="10" t="d">
        <x:v>2026-10-27T16:00:00.000Z</x:v>
      </x:c>
      <x:c r="G113" s="2" t="str">
        <x:f>IF(F113&lt;=E113,"Đúng hẹn","Trễ hẹn")</x:f>
        <x:v>Đúng hẹn</x:v>
      </x:c>
    </x:row>
    <x:row r="114" ht="24" customHeight="1">
      <x:c r="A114" s="11" t="str">
        <x:v>FM000113</x:v>
      </x:c>
      <x:c r="B114" s="12" t="str">
        <x:f>TRIM(CLEAN(SUBSTITUTE(A114,CHAR(160)," ")))</x:f>
        <x:v>FM000113</x:v>
      </x:c>
      <x:c r="C114" s="14" t="n">
        <x:f>IF(B114="","Thiếu mã",IFERROR(VLOOKUP(B114,'GiaCuoc'!$A$2:$B$501,2,FALSE),"Cần kiểm tra mã"))</x:f>
        <x:v>20000</x:v>
      </x:c>
      <x:c r="D114" s="2" t="str">
        <x:v>Nội thành</x:v>
      </x:c>
      <x:c r="E114" s="10" t="d">
        <x:v>2026-10-27T17:00:00.000Z</x:v>
      </x:c>
      <x:c r="F114" s="10" t="d">
        <x:v>2026-10-27T16:00:00.000Z</x:v>
      </x:c>
      <x:c r="G114" s="2" t="str">
        <x:f>IF(F114&lt;=E114,"Đúng hẹn","Trễ hẹn")</x:f>
        <x:v>Đúng hẹn</x:v>
      </x:c>
    </x:row>
    <x:row r="115" ht="24" customHeight="1">
      <x:c r="A115" s="11" t="str">
        <x:v>FM000114</x:v>
      </x:c>
      <x:c r="B115" s="12" t="str">
        <x:f>TRIM(CLEAN(SUBSTITUTE(A115,CHAR(160)," ")))</x:f>
        <x:v>FM000114</x:v>
      </x:c>
      <x:c r="C115" s="14" t="n">
        <x:f>IF(B115="","Thiếu mã",IFERROR(VLOOKUP(B115,'GiaCuoc'!$A$2:$B$501,2,FALSE),"Cần kiểm tra mã"))</x:f>
        <x:v>20000</x:v>
      </x:c>
      <x:c r="D115" s="2" t="str">
        <x:v>Nội thành</x:v>
      </x:c>
      <x:c r="E115" s="10" t="d">
        <x:v>2026-10-27T17:00:00.000Z</x:v>
      </x:c>
      <x:c r="F115" s="10" t="d">
        <x:v>2026-10-27T16:00:00.000Z</x:v>
      </x:c>
      <x:c r="G115" s="2" t="str">
        <x:f>IF(F115&lt;=E115,"Đúng hẹn","Trễ hẹn")</x:f>
        <x:v>Đúng hẹn</x:v>
      </x:c>
    </x:row>
    <x:row r="116" ht="24" customHeight="1">
      <x:c r="A116" s="11" t="str">
        <x:v>FM000115</x:v>
      </x:c>
      <x:c r="B116" s="12" t="str">
        <x:f>TRIM(CLEAN(SUBSTITUTE(A116,CHAR(160)," ")))</x:f>
        <x:v>FM000115</x:v>
      </x:c>
      <x:c r="C116" s="14" t="n">
        <x:f>IF(B116="","Thiếu mã",IFERROR(VLOOKUP(B116,'GiaCuoc'!$A$2:$B$501,2,FALSE),"Cần kiểm tra mã"))</x:f>
        <x:v>20000</x:v>
      </x:c>
      <x:c r="D116" s="2" t="str">
        <x:v>Nội thành</x:v>
      </x:c>
      <x:c r="E116" s="10" t="d">
        <x:v>2026-10-27T17:00:00.000Z</x:v>
      </x:c>
      <x:c r="F116" s="10" t="d">
        <x:v>2026-10-27T16:00:00.000Z</x:v>
      </x:c>
      <x:c r="G116" s="2" t="str">
        <x:f>IF(F116&lt;=E116,"Đúng hẹn","Trễ hẹn")</x:f>
        <x:v>Đúng hẹn</x:v>
      </x:c>
    </x:row>
    <x:row r="117" ht="24" customHeight="1">
      <x:c r="A117" s="11" t="str">
        <x:v>FM000116</x:v>
      </x:c>
      <x:c r="B117" s="12" t="str">
        <x:f>TRIM(CLEAN(SUBSTITUTE(A117,CHAR(160)," ")))</x:f>
        <x:v>FM000116</x:v>
      </x:c>
      <x:c r="C117" s="14" t="n">
        <x:f>IF(B117="","Thiếu mã",IFERROR(VLOOKUP(B117,'GiaCuoc'!$A$2:$B$501,2,FALSE),"Cần kiểm tra mã"))</x:f>
        <x:v>20000</x:v>
      </x:c>
      <x:c r="D117" s="2" t="str">
        <x:v>Nội thành</x:v>
      </x:c>
      <x:c r="E117" s="10" t="d">
        <x:v>2026-10-27T17:00:00.000Z</x:v>
      </x:c>
      <x:c r="F117" s="10" t="d">
        <x:v>2026-10-27T16:00:00.000Z</x:v>
      </x:c>
      <x:c r="G117" s="2" t="str">
        <x:f>IF(F117&lt;=E117,"Đúng hẹn","Trễ hẹn")</x:f>
        <x:v>Đúng hẹn</x:v>
      </x:c>
    </x:row>
    <x:row r="118" ht="24" customHeight="1">
      <x:c r="A118" s="11" t="str">
        <x:v>FM000117</x:v>
      </x:c>
      <x:c r="B118" s="12" t="str">
        <x:f>TRIM(CLEAN(SUBSTITUTE(A118,CHAR(160)," ")))</x:f>
        <x:v>FM000117</x:v>
      </x:c>
      <x:c r="C118" s="14" t="n">
        <x:f>IF(B118="","Thiếu mã",IFERROR(VLOOKUP(B118,'GiaCuoc'!$A$2:$B$501,2,FALSE),"Cần kiểm tra mã"))</x:f>
        <x:v>20000</x:v>
      </x:c>
      <x:c r="D118" s="2" t="str">
        <x:v>Nội thành</x:v>
      </x:c>
      <x:c r="E118" s="10" t="d">
        <x:v>2026-10-27T17:00:00.000Z</x:v>
      </x:c>
      <x:c r="F118" s="10" t="d">
        <x:v>2026-10-27T16:00:00.000Z</x:v>
      </x:c>
      <x:c r="G118" s="2" t="str">
        <x:f>IF(F118&lt;=E118,"Đúng hẹn","Trễ hẹn")</x:f>
        <x:v>Đúng hẹn</x:v>
      </x:c>
    </x:row>
    <x:row r="119" ht="24" customHeight="1">
      <x:c r="A119" s="11" t="str">
        <x:v>FM000118</x:v>
      </x:c>
      <x:c r="B119" s="12" t="str">
        <x:f>TRIM(CLEAN(SUBSTITUTE(A119,CHAR(160)," ")))</x:f>
        <x:v>FM000118</x:v>
      </x:c>
      <x:c r="C119" s="14" t="n">
        <x:f>IF(B119="","Thiếu mã",IFERROR(VLOOKUP(B119,'GiaCuoc'!$A$2:$B$501,2,FALSE),"Cần kiểm tra mã"))</x:f>
        <x:v>20000</x:v>
      </x:c>
      <x:c r="D119" s="2" t="str">
        <x:v>Nội thành</x:v>
      </x:c>
      <x:c r="E119" s="10" t="d">
        <x:v>2026-10-27T17:00:00.000Z</x:v>
      </x:c>
      <x:c r="F119" s="10" t="d">
        <x:v>2026-10-27T16:00:00.000Z</x:v>
      </x:c>
      <x:c r="G119" s="2" t="str">
        <x:f>IF(F119&lt;=E119,"Đúng hẹn","Trễ hẹn")</x:f>
        <x:v>Đúng hẹn</x:v>
      </x:c>
    </x:row>
    <x:row r="120" ht="24" customHeight="1">
      <x:c r="A120" s="11" t="str">
        <x:v>FM000119</x:v>
      </x:c>
      <x:c r="B120" s="12" t="str">
        <x:f>TRIM(CLEAN(SUBSTITUTE(A120,CHAR(160)," ")))</x:f>
        <x:v>FM000119</x:v>
      </x:c>
      <x:c r="C120" s="14" t="n">
        <x:f>IF(B120="","Thiếu mã",IFERROR(VLOOKUP(B120,'GiaCuoc'!$A$2:$B$501,2,FALSE),"Cần kiểm tra mã"))</x:f>
        <x:v>20000</x:v>
      </x:c>
      <x:c r="D120" s="2" t="str">
        <x:v>Nội thành</x:v>
      </x:c>
      <x:c r="E120" s="10" t="d">
        <x:v>2026-10-27T17:00:00.000Z</x:v>
      </x:c>
      <x:c r="F120" s="10" t="d">
        <x:v>2026-10-27T16:00:00.000Z</x:v>
      </x:c>
      <x:c r="G120" s="2" t="str">
        <x:f>IF(F120&lt;=E120,"Đúng hẹn","Trễ hẹn")</x:f>
        <x:v>Đúng hẹn</x:v>
      </x:c>
    </x:row>
    <x:row r="121" ht="24" customHeight="1">
      <x:c r="A121" s="11" t="str">
        <x:v>FM000120</x:v>
      </x:c>
      <x:c r="B121" s="12" t="str">
        <x:f>TRIM(CLEAN(SUBSTITUTE(A121,CHAR(160)," ")))</x:f>
        <x:v>FM000120</x:v>
      </x:c>
      <x:c r="C121" s="14" t="n">
        <x:f>IF(B121="","Thiếu mã",IFERROR(VLOOKUP(B121,'GiaCuoc'!$A$2:$B$501,2,FALSE),"Cần kiểm tra mã"))</x:f>
        <x:v>20000</x:v>
      </x:c>
      <x:c r="D121" s="2" t="str">
        <x:v>Nội thành</x:v>
      </x:c>
      <x:c r="E121" s="10" t="d">
        <x:v>2026-10-27T17:00:00.000Z</x:v>
      </x:c>
      <x:c r="F121" s="10" t="d">
        <x:v>2026-10-27T16:00:00.000Z</x:v>
      </x:c>
      <x:c r="G121" s="2" t="str">
        <x:f>IF(F121&lt;=E121,"Đúng hẹn","Trễ hẹn")</x:f>
        <x:v>Đúng hẹn</x:v>
      </x:c>
    </x:row>
    <x:row r="122" ht="24" customHeight="1">
      <x:c r="A122" s="11" t="str">
        <x:v>FM000121</x:v>
      </x:c>
      <x:c r="B122" s="12" t="str">
        <x:f>TRIM(CLEAN(SUBSTITUTE(A122,CHAR(160)," ")))</x:f>
        <x:v>FM000121</x:v>
      </x:c>
      <x:c r="C122" s="14" t="n">
        <x:f>IF(B122="","Thiếu mã",IFERROR(VLOOKUP(B122,'GiaCuoc'!$A$2:$B$501,2,FALSE),"Cần kiểm tra mã"))</x:f>
        <x:v>20000</x:v>
      </x:c>
      <x:c r="D122" s="2" t="str">
        <x:v>Nội thành</x:v>
      </x:c>
      <x:c r="E122" s="10" t="d">
        <x:v>2026-10-27T17:00:00.000Z</x:v>
      </x:c>
      <x:c r="F122" s="10" t="d">
        <x:v>2026-10-27T19:00:00.000Z</x:v>
      </x:c>
      <x:c r="G122" s="2" t="str">
        <x:f>IF(F122&lt;=E122,"Đúng hẹn","Trễ hẹn")</x:f>
        <x:v>Trễ hẹn</x:v>
      </x:c>
    </x:row>
    <x:row r="123" ht="24" customHeight="1">
      <x:c r="A123" s="11" t="str">
        <x:v>FM000122</x:v>
      </x:c>
      <x:c r="B123" s="12" t="str">
        <x:f>TRIM(CLEAN(SUBSTITUTE(A123,CHAR(160)," ")))</x:f>
        <x:v>FM000122</x:v>
      </x:c>
      <x:c r="C123" s="14" t="n">
        <x:f>IF(B123="","Thiếu mã",IFERROR(VLOOKUP(B123,'GiaCuoc'!$A$2:$B$501,2,FALSE),"Cần kiểm tra mã"))</x:f>
        <x:v>20000</x:v>
      </x:c>
      <x:c r="D123" s="2" t="str">
        <x:v>Nội thành</x:v>
      </x:c>
      <x:c r="E123" s="10" t="d">
        <x:v>2026-10-27T17:00:00.000Z</x:v>
      </x:c>
      <x:c r="F123" s="10" t="d">
        <x:v>2026-10-27T19:00:00.000Z</x:v>
      </x:c>
      <x:c r="G123" s="2" t="str">
        <x:f>IF(F123&lt;=E123,"Đúng hẹn","Trễ hẹn")</x:f>
        <x:v>Trễ hẹn</x:v>
      </x:c>
    </x:row>
    <x:row r="124" ht="24" customHeight="1">
      <x:c r="A124" s="11" t="str">
        <x:v>FM000123</x:v>
      </x:c>
      <x:c r="B124" s="12" t="str">
        <x:f>TRIM(CLEAN(SUBSTITUTE(A124,CHAR(160)," ")))</x:f>
        <x:v>FM000123</x:v>
      </x:c>
      <x:c r="C124" s="14" t="n">
        <x:f>IF(B124="","Thiếu mã",IFERROR(VLOOKUP(B124,'GiaCuoc'!$A$2:$B$501,2,FALSE),"Cần kiểm tra mã"))</x:f>
        <x:v>20000</x:v>
      </x:c>
      <x:c r="D124" s="2" t="str">
        <x:v>Nội thành</x:v>
      </x:c>
      <x:c r="E124" s="10" t="d">
        <x:v>2026-10-27T17:00:00.000Z</x:v>
      </x:c>
      <x:c r="F124" s="10" t="d">
        <x:v>2026-10-27T19:00:00.000Z</x:v>
      </x:c>
      <x:c r="G124" s="2" t="str">
        <x:f>IF(F124&lt;=E124,"Đúng hẹn","Trễ hẹn")</x:f>
        <x:v>Trễ hẹn</x:v>
      </x:c>
    </x:row>
    <x:row r="125" ht="24" customHeight="1">
      <x:c r="A125" s="11" t="str">
        <x:v>FM000124</x:v>
      </x:c>
      <x:c r="B125" s="12" t="str">
        <x:f>TRIM(CLEAN(SUBSTITUTE(A125,CHAR(160)," ")))</x:f>
        <x:v>FM000124</x:v>
      </x:c>
      <x:c r="C125" s="14" t="n">
        <x:f>IF(B125="","Thiếu mã",IFERROR(VLOOKUP(B125,'GiaCuoc'!$A$2:$B$501,2,FALSE),"Cần kiểm tra mã"))</x:f>
        <x:v>20000</x:v>
      </x:c>
      <x:c r="D125" s="2" t="str">
        <x:v>Nội thành</x:v>
      </x:c>
      <x:c r="E125" s="10" t="d">
        <x:v>2026-10-27T17:00:00.000Z</x:v>
      </x:c>
      <x:c r="F125" s="10" t="d">
        <x:v>2026-10-27T19:00:00.000Z</x:v>
      </x:c>
      <x:c r="G125" s="2" t="str">
        <x:f>IF(F125&lt;=E125,"Đúng hẹn","Trễ hẹn")</x:f>
        <x:v>Trễ hẹn</x:v>
      </x:c>
    </x:row>
    <x:row r="126" ht="24" customHeight="1">
      <x:c r="A126" s="11" t="str">
        <x:v>FM000125</x:v>
      </x:c>
      <x:c r="B126" s="12" t="str">
        <x:f>TRIM(CLEAN(SUBSTITUTE(A126,CHAR(160)," ")))</x:f>
        <x:v>FM000125</x:v>
      </x:c>
      <x:c r="C126" s="14" t="n">
        <x:f>IF(B126="","Thiếu mã",IFERROR(VLOOKUP(B126,'GiaCuoc'!$A$2:$B$501,2,FALSE),"Cần kiểm tra mã"))</x:f>
        <x:v>20000</x:v>
      </x:c>
      <x:c r="D126" s="2" t="str">
        <x:v>Nội thành</x:v>
      </x:c>
      <x:c r="E126" s="10" t="d">
        <x:v>2026-10-27T17:00:00.000Z</x:v>
      </x:c>
      <x:c r="F126" s="10" t="d">
        <x:v>2026-10-27T19:00:00.000Z</x:v>
      </x:c>
      <x:c r="G126" s="2" t="str">
        <x:f>IF(F126&lt;=E126,"Đúng hẹn","Trễ hẹn")</x:f>
        <x:v>Trễ hẹn</x:v>
      </x:c>
    </x:row>
    <x:row r="127" ht="24" customHeight="1">
      <x:c r="A127" s="11" t="str">
        <x:v>FM000126</x:v>
      </x:c>
      <x:c r="B127" s="12" t="str">
        <x:f>TRIM(CLEAN(SUBSTITUTE(A127,CHAR(160)," ")))</x:f>
        <x:v>FM000126</x:v>
      </x:c>
      <x:c r="C127" s="14" t="n">
        <x:f>IF(B127="","Thiếu mã",IFERROR(VLOOKUP(B127,'GiaCuoc'!$A$2:$B$501,2,FALSE),"Cần kiểm tra mã"))</x:f>
        <x:v>30000</x:v>
      </x:c>
      <x:c r="D127" s="2" t="str">
        <x:v>Ngoại thành</x:v>
      </x:c>
      <x:c r="E127" s="10" t="d">
        <x:v>2026-10-27T17:00:00.000Z</x:v>
      </x:c>
      <x:c r="F127" s="10" t="d">
        <x:v>2026-10-27T16:00:00.000Z</x:v>
      </x:c>
      <x:c r="G127" s="2" t="str">
        <x:f>IF(F127&lt;=E127,"Đúng hẹn","Trễ hẹn")</x:f>
        <x:v>Đúng hẹn</x:v>
      </x:c>
    </x:row>
    <x:row r="128" ht="24" customHeight="1">
      <x:c r="A128" s="11" t="str">
        <x:v>FM000127</x:v>
      </x:c>
      <x:c r="B128" s="12" t="str">
        <x:f>TRIM(CLEAN(SUBSTITUTE(A128,CHAR(160)," ")))</x:f>
        <x:v>FM000127</x:v>
      </x:c>
      <x:c r="C128" s="14" t="n">
        <x:f>IF(B128="","Thiếu mã",IFERROR(VLOOKUP(B128,'GiaCuoc'!$A$2:$B$501,2,FALSE),"Cần kiểm tra mã"))</x:f>
        <x:v>30000</x:v>
      </x:c>
      <x:c r="D128" s="2" t="str">
        <x:v>Ngoại thành</x:v>
      </x:c>
      <x:c r="E128" s="10" t="d">
        <x:v>2026-10-27T17:00:00.000Z</x:v>
      </x:c>
      <x:c r="F128" s="10" t="d">
        <x:v>2026-10-27T16:00:00.000Z</x:v>
      </x:c>
      <x:c r="G128" s="2" t="str">
        <x:f>IF(F128&lt;=E128,"Đúng hẹn","Trễ hẹn")</x:f>
        <x:v>Đúng hẹn</x:v>
      </x:c>
    </x:row>
    <x:row r="129" ht="24" customHeight="1">
      <x:c r="A129" s="11" t="str">
        <x:v>FM000128</x:v>
      </x:c>
      <x:c r="B129" s="12" t="str">
        <x:f>TRIM(CLEAN(SUBSTITUTE(A129,CHAR(160)," ")))</x:f>
        <x:v>FM000128</x:v>
      </x:c>
      <x:c r="C129" s="14" t="n">
        <x:f>IF(B129="","Thiếu mã",IFERROR(VLOOKUP(B129,'GiaCuoc'!$A$2:$B$501,2,FALSE),"Cần kiểm tra mã"))</x:f>
        <x:v>30000</x:v>
      </x:c>
      <x:c r="D129" s="2" t="str">
        <x:v>Ngoại thành</x:v>
      </x:c>
      <x:c r="E129" s="10" t="d">
        <x:v>2026-10-27T17:00:00.000Z</x:v>
      </x:c>
      <x:c r="F129" s="10" t="d">
        <x:v>2026-10-27T16:00:00.000Z</x:v>
      </x:c>
      <x:c r="G129" s="2" t="str">
        <x:f>IF(F129&lt;=E129,"Đúng hẹn","Trễ hẹn")</x:f>
        <x:v>Đúng hẹn</x:v>
      </x:c>
    </x:row>
    <x:row r="130" ht="24" customHeight="1">
      <x:c r="A130" s="11" t="str">
        <x:v>FM000129</x:v>
      </x:c>
      <x:c r="B130" s="12" t="str">
        <x:f>TRIM(CLEAN(SUBSTITUTE(A130,CHAR(160)," ")))</x:f>
        <x:v>FM000129</x:v>
      </x:c>
      <x:c r="C130" s="14" t="n">
        <x:f>IF(B130="","Thiếu mã",IFERROR(VLOOKUP(B130,'GiaCuoc'!$A$2:$B$501,2,FALSE),"Cần kiểm tra mã"))</x:f>
        <x:v>30000</x:v>
      </x:c>
      <x:c r="D130" s="2" t="str">
        <x:v>Ngoại thành</x:v>
      </x:c>
      <x:c r="E130" s="10" t="d">
        <x:v>2026-10-27T17:00:00.000Z</x:v>
      </x:c>
      <x:c r="F130" s="10" t="d">
        <x:v>2026-10-27T16:00:00.000Z</x:v>
      </x:c>
      <x:c r="G130" s="2" t="str">
        <x:f>IF(F130&lt;=E130,"Đúng hẹn","Trễ hẹn")</x:f>
        <x:v>Đúng hẹn</x:v>
      </x:c>
    </x:row>
    <x:row r="131" ht="24" customHeight="1">
      <x:c r="A131" s="11" t="str">
        <x:v>FM000130</x:v>
      </x:c>
      <x:c r="B131" s="12" t="str">
        <x:f>TRIM(CLEAN(SUBSTITUTE(A131,CHAR(160)," ")))</x:f>
        <x:v>FM000130</x:v>
      </x:c>
      <x:c r="C131" s="14" t="n">
        <x:f>IF(B131="","Thiếu mã",IFERROR(VLOOKUP(B131,'GiaCuoc'!$A$2:$B$501,2,FALSE),"Cần kiểm tra mã"))</x:f>
        <x:v>30000</x:v>
      </x:c>
      <x:c r="D131" s="2" t="str">
        <x:v>Ngoại thành</x:v>
      </x:c>
      <x:c r="E131" s="10" t="d">
        <x:v>2026-10-27T17:00:00.000Z</x:v>
      </x:c>
      <x:c r="F131" s="10" t="d">
        <x:v>2026-10-27T16:00:00.000Z</x:v>
      </x:c>
      <x:c r="G131" s="2" t="str">
        <x:f>IF(F131&lt;=E131,"Đúng hẹn","Trễ hẹn")</x:f>
        <x:v>Đúng hẹn</x:v>
      </x:c>
    </x:row>
    <x:row r="132" ht="24" customHeight="1">
      <x:c r="A132" s="11" t="str">
        <x:v>FM000131</x:v>
      </x:c>
      <x:c r="B132" s="12" t="str">
        <x:f>TRIM(CLEAN(SUBSTITUTE(A132,CHAR(160)," ")))</x:f>
        <x:v>FM000131</x:v>
      </x:c>
      <x:c r="C132" s="14" t="n">
        <x:f>IF(B132="","Thiếu mã",IFERROR(VLOOKUP(B132,'GiaCuoc'!$A$2:$B$501,2,FALSE),"Cần kiểm tra mã"))</x:f>
        <x:v>30000</x:v>
      </x:c>
      <x:c r="D132" s="2" t="str">
        <x:v>Ngoại thành</x:v>
      </x:c>
      <x:c r="E132" s="10" t="d">
        <x:v>2026-10-27T17:00:00.000Z</x:v>
      </x:c>
      <x:c r="F132" s="10" t="d">
        <x:v>2026-10-27T16:00:00.000Z</x:v>
      </x:c>
      <x:c r="G132" s="2" t="str">
        <x:f>IF(F132&lt;=E132,"Đúng hẹn","Trễ hẹn")</x:f>
        <x:v>Đúng hẹn</x:v>
      </x:c>
    </x:row>
    <x:row r="133" ht="24" customHeight="1">
      <x:c r="A133" s="11" t="str">
        <x:v>FM000132</x:v>
      </x:c>
      <x:c r="B133" s="12" t="str">
        <x:f>TRIM(CLEAN(SUBSTITUTE(A133,CHAR(160)," ")))</x:f>
        <x:v>FM000132</x:v>
      </x:c>
      <x:c r="C133" s="14" t="n">
        <x:f>IF(B133="","Thiếu mã",IFERROR(VLOOKUP(B133,'GiaCuoc'!$A$2:$B$501,2,FALSE),"Cần kiểm tra mã"))</x:f>
        <x:v>30000</x:v>
      </x:c>
      <x:c r="D133" s="2" t="str">
        <x:v>Ngoại thành</x:v>
      </x:c>
      <x:c r="E133" s="10" t="d">
        <x:v>2026-10-27T17:00:00.000Z</x:v>
      </x:c>
      <x:c r="F133" s="10" t="d">
        <x:v>2026-10-27T16:00:00.000Z</x:v>
      </x:c>
      <x:c r="G133" s="2" t="str">
        <x:f>IF(F133&lt;=E133,"Đúng hẹn","Trễ hẹn")</x:f>
        <x:v>Đúng hẹn</x:v>
      </x:c>
    </x:row>
    <x:row r="134" ht="24" customHeight="1">
      <x:c r="A134" s="11" t="str">
        <x:v>FM000133</x:v>
      </x:c>
      <x:c r="B134" s="12" t="str">
        <x:f>TRIM(CLEAN(SUBSTITUTE(A134,CHAR(160)," ")))</x:f>
        <x:v>FM000133</x:v>
      </x:c>
      <x:c r="C134" s="14" t="n">
        <x:f>IF(B134="","Thiếu mã",IFERROR(VLOOKUP(B134,'GiaCuoc'!$A$2:$B$501,2,FALSE),"Cần kiểm tra mã"))</x:f>
        <x:v>30000</x:v>
      </x:c>
      <x:c r="D134" s="2" t="str">
        <x:v>Ngoại thành</x:v>
      </x:c>
      <x:c r="E134" s="10" t="d">
        <x:v>2026-10-27T17:00:00.000Z</x:v>
      </x:c>
      <x:c r="F134" s="10" t="d">
        <x:v>2026-10-27T16:00:00.000Z</x:v>
      </x:c>
      <x:c r="G134" s="2" t="str">
        <x:f>IF(F134&lt;=E134,"Đúng hẹn","Trễ hẹn")</x:f>
        <x:v>Đúng hẹn</x:v>
      </x:c>
    </x:row>
    <x:row r="135" ht="24" customHeight="1">
      <x:c r="A135" s="11" t="str">
        <x:v>FM000134</x:v>
      </x:c>
      <x:c r="B135" s="12" t="str">
        <x:f>TRIM(CLEAN(SUBSTITUTE(A135,CHAR(160)," ")))</x:f>
        <x:v>FM000134</x:v>
      </x:c>
      <x:c r="C135" s="14" t="n">
        <x:f>IF(B135="","Thiếu mã",IFERROR(VLOOKUP(B135,'GiaCuoc'!$A$2:$B$501,2,FALSE),"Cần kiểm tra mã"))</x:f>
        <x:v>30000</x:v>
      </x:c>
      <x:c r="D135" s="2" t="str">
        <x:v>Ngoại thành</x:v>
      </x:c>
      <x:c r="E135" s="10" t="d">
        <x:v>2026-10-27T17:00:00.000Z</x:v>
      </x:c>
      <x:c r="F135" s="10" t="d">
        <x:v>2026-10-27T16:00:00.000Z</x:v>
      </x:c>
      <x:c r="G135" s="2" t="str">
        <x:f>IF(F135&lt;=E135,"Đúng hẹn","Trễ hẹn")</x:f>
        <x:v>Đúng hẹn</x:v>
      </x:c>
    </x:row>
    <x:row r="136" ht="24" customHeight="1">
      <x:c r="A136" s="11" t="str">
        <x:v>FM000135</x:v>
      </x:c>
      <x:c r="B136" s="12" t="str">
        <x:f>TRIM(CLEAN(SUBSTITUTE(A136,CHAR(160)," ")))</x:f>
        <x:v>FM000135</x:v>
      </x:c>
      <x:c r="C136" s="14" t="n">
        <x:f>IF(B136="","Thiếu mã",IFERROR(VLOOKUP(B136,'GiaCuoc'!$A$2:$B$501,2,FALSE),"Cần kiểm tra mã"))</x:f>
        <x:v>30000</x:v>
      </x:c>
      <x:c r="D136" s="2" t="str">
        <x:v>Ngoại thành</x:v>
      </x:c>
      <x:c r="E136" s="10" t="d">
        <x:v>2026-10-27T17:00:00.000Z</x:v>
      </x:c>
      <x:c r="F136" s="10" t="d">
        <x:v>2026-10-27T16:00:00.000Z</x:v>
      </x:c>
      <x:c r="G136" s="2" t="str">
        <x:f>IF(F136&lt;=E136,"Đúng hẹn","Trễ hẹn")</x:f>
        <x:v>Đúng hẹn</x:v>
      </x:c>
    </x:row>
    <x:row r="137" ht="24" customHeight="1">
      <x:c r="A137" s="11" t="str">
        <x:v>FM000136</x:v>
      </x:c>
      <x:c r="B137" s="12" t="str">
        <x:f>TRIM(CLEAN(SUBSTITUTE(A137,CHAR(160)," ")))</x:f>
        <x:v>FM000136</x:v>
      </x:c>
      <x:c r="C137" s="14" t="n">
        <x:f>IF(B137="","Thiếu mã",IFERROR(VLOOKUP(B137,'GiaCuoc'!$A$2:$B$501,2,FALSE),"Cần kiểm tra mã"))</x:f>
        <x:v>30000</x:v>
      </x:c>
      <x:c r="D137" s="2" t="str">
        <x:v>Ngoại thành</x:v>
      </x:c>
      <x:c r="E137" s="10" t="d">
        <x:v>2026-10-27T17:00:00.000Z</x:v>
      </x:c>
      <x:c r="F137" s="10" t="d">
        <x:v>2026-10-27T16:00:00.000Z</x:v>
      </x:c>
      <x:c r="G137" s="2" t="str">
        <x:f>IF(F137&lt;=E137,"Đúng hẹn","Trễ hẹn")</x:f>
        <x:v>Đúng hẹn</x:v>
      </x:c>
    </x:row>
    <x:row r="138" ht="24" customHeight="1">
      <x:c r="A138" s="11" t="str">
        <x:v>FM000137</x:v>
      </x:c>
      <x:c r="B138" s="12" t="str">
        <x:f>TRIM(CLEAN(SUBSTITUTE(A138,CHAR(160)," ")))</x:f>
        <x:v>FM000137</x:v>
      </x:c>
      <x:c r="C138" s="14" t="n">
        <x:f>IF(B138="","Thiếu mã",IFERROR(VLOOKUP(B138,'GiaCuoc'!$A$2:$B$501,2,FALSE),"Cần kiểm tra mã"))</x:f>
        <x:v>30000</x:v>
      </x:c>
      <x:c r="D138" s="2" t="str">
        <x:v>Ngoại thành</x:v>
      </x:c>
      <x:c r="E138" s="10" t="d">
        <x:v>2026-10-27T17:00:00.000Z</x:v>
      </x:c>
      <x:c r="F138" s="10" t="d">
        <x:v>2026-10-27T16:00:00.000Z</x:v>
      </x:c>
      <x:c r="G138" s="2" t="str">
        <x:f>IF(F138&lt;=E138,"Đúng hẹn","Trễ hẹn")</x:f>
        <x:v>Đúng hẹn</x:v>
      </x:c>
    </x:row>
    <x:row r="139" ht="24" customHeight="1">
      <x:c r="A139" s="11" t="str">
        <x:v>FM000138</x:v>
      </x:c>
      <x:c r="B139" s="12" t="str">
        <x:f>TRIM(CLEAN(SUBSTITUTE(A139,CHAR(160)," ")))</x:f>
        <x:v>FM000138</x:v>
      </x:c>
      <x:c r="C139" s="14" t="n">
        <x:f>IF(B139="","Thiếu mã",IFERROR(VLOOKUP(B139,'GiaCuoc'!$A$2:$B$501,2,FALSE),"Cần kiểm tra mã"))</x:f>
        <x:v>30000</x:v>
      </x:c>
      <x:c r="D139" s="2" t="str">
        <x:v>Ngoại thành</x:v>
      </x:c>
      <x:c r="E139" s="10" t="d">
        <x:v>2026-10-27T17:00:00.000Z</x:v>
      </x:c>
      <x:c r="F139" s="10" t="d">
        <x:v>2026-10-27T16:00:00.000Z</x:v>
      </x:c>
      <x:c r="G139" s="2" t="str">
        <x:f>IF(F139&lt;=E139,"Đúng hẹn","Trễ hẹn")</x:f>
        <x:v>Đúng hẹn</x:v>
      </x:c>
    </x:row>
    <x:row r="140" ht="24" customHeight="1">
      <x:c r="A140" s="11" t="str">
        <x:v>FM000139</x:v>
      </x:c>
      <x:c r="B140" s="12" t="str">
        <x:f>TRIM(CLEAN(SUBSTITUTE(A140,CHAR(160)," ")))</x:f>
        <x:v>FM000139</x:v>
      </x:c>
      <x:c r="C140" s="14" t="n">
        <x:f>IF(B140="","Thiếu mã",IFERROR(VLOOKUP(B140,'GiaCuoc'!$A$2:$B$501,2,FALSE),"Cần kiểm tra mã"))</x:f>
        <x:v>30000</x:v>
      </x:c>
      <x:c r="D140" s="2" t="str">
        <x:v>Ngoại thành</x:v>
      </x:c>
      <x:c r="E140" s="10" t="d">
        <x:v>2026-10-27T17:00:00.000Z</x:v>
      </x:c>
      <x:c r="F140" s="10" t="d">
        <x:v>2026-10-27T16:00:00.000Z</x:v>
      </x:c>
      <x:c r="G140" s="2" t="str">
        <x:f>IF(F140&lt;=E140,"Đúng hẹn","Trễ hẹn")</x:f>
        <x:v>Đúng hẹn</x:v>
      </x:c>
    </x:row>
    <x:row r="141" ht="24" customHeight="1">
      <x:c r="A141" s="11" t="str">
        <x:v>FM000140</x:v>
      </x:c>
      <x:c r="B141" s="12" t="str">
        <x:f>TRIM(CLEAN(SUBSTITUTE(A141,CHAR(160)," ")))</x:f>
        <x:v>FM000140</x:v>
      </x:c>
      <x:c r="C141" s="14" t="n">
        <x:f>IF(B141="","Thiếu mã",IFERROR(VLOOKUP(B141,'GiaCuoc'!$A$2:$B$501,2,FALSE),"Cần kiểm tra mã"))</x:f>
        <x:v>30000</x:v>
      </x:c>
      <x:c r="D141" s="2" t="str">
        <x:v>Ngoại thành</x:v>
      </x:c>
      <x:c r="E141" s="10" t="d">
        <x:v>2026-10-27T17:00:00.000Z</x:v>
      </x:c>
      <x:c r="F141" s="10" t="d">
        <x:v>2026-10-27T16:00:00.000Z</x:v>
      </x:c>
      <x:c r="G141" s="2" t="str">
        <x:f>IF(F141&lt;=E141,"Đúng hẹn","Trễ hẹn")</x:f>
        <x:v>Đúng hẹn</x:v>
      </x:c>
    </x:row>
    <x:row r="142" ht="24" customHeight="1">
      <x:c r="A142" s="11" t="str">
        <x:v>FM000141</x:v>
      </x:c>
      <x:c r="B142" s="12" t="str">
        <x:f>TRIM(CLEAN(SUBSTITUTE(A142,CHAR(160)," ")))</x:f>
        <x:v>FM000141</x:v>
      </x:c>
      <x:c r="C142" s="14" t="n">
        <x:f>IF(B142="","Thiếu mã",IFERROR(VLOOKUP(B142,'GiaCuoc'!$A$2:$B$501,2,FALSE),"Cần kiểm tra mã"))</x:f>
        <x:v>30000</x:v>
      </x:c>
      <x:c r="D142" s="2" t="str">
        <x:v>Ngoại thành</x:v>
      </x:c>
      <x:c r="E142" s="10" t="d">
        <x:v>2026-10-27T17:00:00.000Z</x:v>
      </x:c>
      <x:c r="F142" s="10" t="d">
        <x:v>2026-10-27T16:00:00.000Z</x:v>
      </x:c>
      <x:c r="G142" s="2" t="str">
        <x:f>IF(F142&lt;=E142,"Đúng hẹn","Trễ hẹn")</x:f>
        <x:v>Đúng hẹn</x:v>
      </x:c>
    </x:row>
    <x:row r="143" ht="24" customHeight="1">
      <x:c r="A143" s="11" t="str">
        <x:v>FM000142</x:v>
      </x:c>
      <x:c r="B143" s="12" t="str">
        <x:f>TRIM(CLEAN(SUBSTITUTE(A143,CHAR(160)," ")))</x:f>
        <x:v>FM000142</x:v>
      </x:c>
      <x:c r="C143" s="14" t="n">
        <x:f>IF(B143="","Thiếu mã",IFERROR(VLOOKUP(B143,'GiaCuoc'!$A$2:$B$501,2,FALSE),"Cần kiểm tra mã"))</x:f>
        <x:v>30000</x:v>
      </x:c>
      <x:c r="D143" s="2" t="str">
        <x:v>Ngoại thành</x:v>
      </x:c>
      <x:c r="E143" s="10" t="d">
        <x:v>2026-10-27T17:00:00.000Z</x:v>
      </x:c>
      <x:c r="F143" s="10" t="d">
        <x:v>2026-10-27T16:00:00.000Z</x:v>
      </x:c>
      <x:c r="G143" s="2" t="str">
        <x:f>IF(F143&lt;=E143,"Đúng hẹn","Trễ hẹn")</x:f>
        <x:v>Đúng hẹn</x:v>
      </x:c>
    </x:row>
    <x:row r="144" ht="24" customHeight="1">
      <x:c r="A144" s="11" t="str">
        <x:v>FM000143</x:v>
      </x:c>
      <x:c r="B144" s="12" t="str">
        <x:f>TRIM(CLEAN(SUBSTITUTE(A144,CHAR(160)," ")))</x:f>
        <x:v>FM000143</x:v>
      </x:c>
      <x:c r="C144" s="14" t="n">
        <x:f>IF(B144="","Thiếu mã",IFERROR(VLOOKUP(B144,'GiaCuoc'!$A$2:$B$501,2,FALSE),"Cần kiểm tra mã"))</x:f>
        <x:v>30000</x:v>
      </x:c>
      <x:c r="D144" s="2" t="str">
        <x:v>Ngoại thành</x:v>
      </x:c>
      <x:c r="E144" s="10" t="d">
        <x:v>2026-10-27T17:00:00.000Z</x:v>
      </x:c>
      <x:c r="F144" s="10" t="d">
        <x:v>2026-10-27T16:00:00.000Z</x:v>
      </x:c>
      <x:c r="G144" s="2" t="str">
        <x:f>IF(F144&lt;=E144,"Đúng hẹn","Trễ hẹn")</x:f>
        <x:v>Đúng hẹn</x:v>
      </x:c>
    </x:row>
    <x:row r="145" ht="24" customHeight="1">
      <x:c r="A145" s="11" t="str">
        <x:v>FM000144</x:v>
      </x:c>
      <x:c r="B145" s="12" t="str">
        <x:f>TRIM(CLEAN(SUBSTITUTE(A145,CHAR(160)," ")))</x:f>
        <x:v>FM000144</x:v>
      </x:c>
      <x:c r="C145" s="14" t="n">
        <x:f>IF(B145="","Thiếu mã",IFERROR(VLOOKUP(B145,'GiaCuoc'!$A$2:$B$501,2,FALSE),"Cần kiểm tra mã"))</x:f>
        <x:v>30000</x:v>
      </x:c>
      <x:c r="D145" s="2" t="str">
        <x:v>Ngoại thành</x:v>
      </x:c>
      <x:c r="E145" s="10" t="d">
        <x:v>2026-10-27T17:00:00.000Z</x:v>
      </x:c>
      <x:c r="F145" s="10" t="d">
        <x:v>2026-10-27T16:00:00.000Z</x:v>
      </x:c>
      <x:c r="G145" s="2" t="str">
        <x:f>IF(F145&lt;=E145,"Đúng hẹn","Trễ hẹn")</x:f>
        <x:v>Đúng hẹn</x:v>
      </x:c>
    </x:row>
    <x:row r="146" ht="24" customHeight="1">
      <x:c r="A146" s="11" t="str">
        <x:v>FM000145</x:v>
      </x:c>
      <x:c r="B146" s="12" t="str">
        <x:f>TRIM(CLEAN(SUBSTITUTE(A146,CHAR(160)," ")))</x:f>
        <x:v>FM000145</x:v>
      </x:c>
      <x:c r="C146" s="14" t="n">
        <x:f>IF(B146="","Thiếu mã",IFERROR(VLOOKUP(B146,'GiaCuoc'!$A$2:$B$501,2,FALSE),"Cần kiểm tra mã"))</x:f>
        <x:v>30000</x:v>
      </x:c>
      <x:c r="D146" s="2" t="str">
        <x:v>Ngoại thành</x:v>
      </x:c>
      <x:c r="E146" s="10" t="d">
        <x:v>2026-10-27T17:00:00.000Z</x:v>
      </x:c>
      <x:c r="F146" s="10" t="d">
        <x:v>2026-10-27T16:00:00.000Z</x:v>
      </x:c>
      <x:c r="G146" s="2" t="str">
        <x:f>IF(F146&lt;=E146,"Đúng hẹn","Trễ hẹn")</x:f>
        <x:v>Đúng hẹn</x:v>
      </x:c>
    </x:row>
    <x:row r="147" ht="24" customHeight="1">
      <x:c r="A147" s="11" t="str">
        <x:v>FM000146</x:v>
      </x:c>
      <x:c r="B147" s="12" t="str">
        <x:f>TRIM(CLEAN(SUBSTITUTE(A147,CHAR(160)," ")))</x:f>
        <x:v>FM000146</x:v>
      </x:c>
      <x:c r="C147" s="14" t="n">
        <x:f>IF(B147="","Thiếu mã",IFERROR(VLOOKUP(B147,'GiaCuoc'!$A$2:$B$501,2,FALSE),"Cần kiểm tra mã"))</x:f>
        <x:v>30000</x:v>
      </x:c>
      <x:c r="D147" s="2" t="str">
        <x:v>Ngoại thành</x:v>
      </x:c>
      <x:c r="E147" s="10" t="d">
        <x:v>2026-10-27T17:00:00.000Z</x:v>
      </x:c>
      <x:c r="F147" s="10" t="d">
        <x:v>2026-10-27T16:00:00.000Z</x:v>
      </x:c>
      <x:c r="G147" s="2" t="str">
        <x:f>IF(F147&lt;=E147,"Đúng hẹn","Trễ hẹn")</x:f>
        <x:v>Đúng hẹn</x:v>
      </x:c>
    </x:row>
    <x:row r="148" ht="24" customHeight="1">
      <x:c r="A148" s="11" t="str">
        <x:v>FM000147</x:v>
      </x:c>
      <x:c r="B148" s="12" t="str">
        <x:f>TRIM(CLEAN(SUBSTITUTE(A148,CHAR(160)," ")))</x:f>
        <x:v>FM000147</x:v>
      </x:c>
      <x:c r="C148" s="14" t="n">
        <x:f>IF(B148="","Thiếu mã",IFERROR(VLOOKUP(B148,'GiaCuoc'!$A$2:$B$501,2,FALSE),"Cần kiểm tra mã"))</x:f>
        <x:v>30000</x:v>
      </x:c>
      <x:c r="D148" s="2" t="str">
        <x:v>Ngoại thành</x:v>
      </x:c>
      <x:c r="E148" s="10" t="d">
        <x:v>2026-10-27T17:00:00.000Z</x:v>
      </x:c>
      <x:c r="F148" s="10" t="d">
        <x:v>2026-10-27T16:00:00.000Z</x:v>
      </x:c>
      <x:c r="G148" s="2" t="str">
        <x:f>IF(F148&lt;=E148,"Đúng hẹn","Trễ hẹn")</x:f>
        <x:v>Đúng hẹn</x:v>
      </x:c>
    </x:row>
    <x:row r="149" ht="24" customHeight="1">
      <x:c r="A149" s="11" t="str">
        <x:v>FM000148</x:v>
      </x:c>
      <x:c r="B149" s="12" t="str">
        <x:f>TRIM(CLEAN(SUBSTITUTE(A149,CHAR(160)," ")))</x:f>
        <x:v>FM000148</x:v>
      </x:c>
      <x:c r="C149" s="14" t="n">
        <x:f>IF(B149="","Thiếu mã",IFERROR(VLOOKUP(B149,'GiaCuoc'!$A$2:$B$501,2,FALSE),"Cần kiểm tra mã"))</x:f>
        <x:v>30000</x:v>
      </x:c>
      <x:c r="D149" s="2" t="str">
        <x:v>Ngoại thành</x:v>
      </x:c>
      <x:c r="E149" s="10" t="d">
        <x:v>2026-10-27T17:00:00.000Z</x:v>
      </x:c>
      <x:c r="F149" s="10" t="d">
        <x:v>2026-10-27T16:00:00.000Z</x:v>
      </x:c>
      <x:c r="G149" s="2" t="str">
        <x:f>IF(F149&lt;=E149,"Đúng hẹn","Trễ hẹn")</x:f>
        <x:v>Đúng hẹn</x:v>
      </x:c>
    </x:row>
    <x:row r="150" ht="24" customHeight="1">
      <x:c r="A150" s="11" t="str">
        <x:v>FM000149</x:v>
      </x:c>
      <x:c r="B150" s="12" t="str">
        <x:f>TRIM(CLEAN(SUBSTITUTE(A150,CHAR(160)," ")))</x:f>
        <x:v>FM000149</x:v>
      </x:c>
      <x:c r="C150" s="14" t="n">
        <x:f>IF(B150="","Thiếu mã",IFERROR(VLOOKUP(B150,'GiaCuoc'!$A$2:$B$501,2,FALSE),"Cần kiểm tra mã"))</x:f>
        <x:v>30000</x:v>
      </x:c>
      <x:c r="D150" s="2" t="str">
        <x:v>Ngoại thành</x:v>
      </x:c>
      <x:c r="E150" s="10" t="d">
        <x:v>2026-10-27T17:00:00.000Z</x:v>
      </x:c>
      <x:c r="F150" s="10" t="d">
        <x:v>2026-10-27T16:00:00.000Z</x:v>
      </x:c>
      <x:c r="G150" s="2" t="str">
        <x:f>IF(F150&lt;=E150,"Đúng hẹn","Trễ hẹn")</x:f>
        <x:v>Đúng hẹn</x:v>
      </x:c>
    </x:row>
    <x:row r="151" ht="24" customHeight="1">
      <x:c r="A151" s="11" t="str">
        <x:v>FM000150</x:v>
      </x:c>
      <x:c r="B151" s="12" t="str">
        <x:f>TRIM(CLEAN(SUBSTITUTE(A151,CHAR(160)," ")))</x:f>
        <x:v>FM000150</x:v>
      </x:c>
      <x:c r="C151" s="14" t="n">
        <x:f>IF(B151="","Thiếu mã",IFERROR(VLOOKUP(B151,'GiaCuoc'!$A$2:$B$501,2,FALSE),"Cần kiểm tra mã"))</x:f>
        <x:v>30000</x:v>
      </x:c>
      <x:c r="D151" s="2" t="str">
        <x:v>Ngoại thành</x:v>
      </x:c>
      <x:c r="E151" s="10" t="d">
        <x:v>2026-10-27T17:00:00.000Z</x:v>
      </x:c>
      <x:c r="F151" s="10" t="d">
        <x:v>2026-10-27T16:00:00.000Z</x:v>
      </x:c>
      <x:c r="G151" s="2" t="str">
        <x:f>IF(F151&lt;=E151,"Đúng hẹn","Trễ hẹn")</x:f>
        <x:v>Đúng hẹn</x:v>
      </x:c>
    </x:row>
    <x:row r="152" ht="24" customHeight="1">
      <x:c r="A152" s="11" t="str">
        <x:v>FM000151</x:v>
      </x:c>
      <x:c r="B152" s="12" t="str">
        <x:f>TRIM(CLEAN(SUBSTITUTE(A152,CHAR(160)," ")))</x:f>
        <x:v>FM000151</x:v>
      </x:c>
      <x:c r="C152" s="14" t="n">
        <x:f>IF(B152="","Thiếu mã",IFERROR(VLOOKUP(B152,'GiaCuoc'!$A$2:$B$501,2,FALSE),"Cần kiểm tra mã"))</x:f>
        <x:v>30000</x:v>
      </x:c>
      <x:c r="D152" s="2" t="str">
        <x:v>Ngoại thành</x:v>
      </x:c>
      <x:c r="E152" s="10" t="d">
        <x:v>2026-10-27T17:00:00.000Z</x:v>
      </x:c>
      <x:c r="F152" s="10" t="d">
        <x:v>2026-10-27T16:00:00.000Z</x:v>
      </x:c>
      <x:c r="G152" s="2" t="str">
        <x:f>IF(F152&lt;=E152,"Đúng hẹn","Trễ hẹn")</x:f>
        <x:v>Đúng hẹn</x:v>
      </x:c>
    </x:row>
    <x:row r="153" ht="24" customHeight="1">
      <x:c r="A153" s="11" t="str">
        <x:v>FM000152</x:v>
      </x:c>
      <x:c r="B153" s="12" t="str">
        <x:f>TRIM(CLEAN(SUBSTITUTE(A153,CHAR(160)," ")))</x:f>
        <x:v>FM000152</x:v>
      </x:c>
      <x:c r="C153" s="14" t="n">
        <x:f>IF(B153="","Thiếu mã",IFERROR(VLOOKUP(B153,'GiaCuoc'!$A$2:$B$501,2,FALSE),"Cần kiểm tra mã"))</x:f>
        <x:v>30000</x:v>
      </x:c>
      <x:c r="D153" s="2" t="str">
        <x:v>Ngoại thành</x:v>
      </x:c>
      <x:c r="E153" s="10" t="d">
        <x:v>2026-10-27T17:00:00.000Z</x:v>
      </x:c>
      <x:c r="F153" s="10" t="d">
        <x:v>2026-10-27T16:00:00.000Z</x:v>
      </x:c>
      <x:c r="G153" s="2" t="str">
        <x:f>IF(F153&lt;=E153,"Đúng hẹn","Trễ hẹn")</x:f>
        <x:v>Đúng hẹn</x:v>
      </x:c>
    </x:row>
    <x:row r="154" ht="24" customHeight="1">
      <x:c r="A154" s="11" t="str">
        <x:v>FM000153</x:v>
      </x:c>
      <x:c r="B154" s="12" t="str">
        <x:f>TRIM(CLEAN(SUBSTITUTE(A154,CHAR(160)," ")))</x:f>
        <x:v>FM000153</x:v>
      </x:c>
      <x:c r="C154" s="14" t="n">
        <x:f>IF(B154="","Thiếu mã",IFERROR(VLOOKUP(B154,'GiaCuoc'!$A$2:$B$501,2,FALSE),"Cần kiểm tra mã"))</x:f>
        <x:v>30000</x:v>
      </x:c>
      <x:c r="D154" s="2" t="str">
        <x:v>Ngoại thành</x:v>
      </x:c>
      <x:c r="E154" s="10" t="d">
        <x:v>2026-10-27T17:00:00.000Z</x:v>
      </x:c>
      <x:c r="F154" s="10" t="d">
        <x:v>2026-10-27T16:00:00.000Z</x:v>
      </x:c>
      <x:c r="G154" s="2" t="str">
        <x:f>IF(F154&lt;=E154,"Đúng hẹn","Trễ hẹn")</x:f>
        <x:v>Đúng hẹn</x:v>
      </x:c>
    </x:row>
    <x:row r="155" ht="24" customHeight="1">
      <x:c r="A155" s="11" t="str">
        <x:v>FM000154</x:v>
      </x:c>
      <x:c r="B155" s="12" t="str">
        <x:f>TRIM(CLEAN(SUBSTITUTE(A155,CHAR(160)," ")))</x:f>
        <x:v>FM000154</x:v>
      </x:c>
      <x:c r="C155" s="14" t="n">
        <x:f>IF(B155="","Thiếu mã",IFERROR(VLOOKUP(B155,'GiaCuoc'!$A$2:$B$501,2,FALSE),"Cần kiểm tra mã"))</x:f>
        <x:v>30000</x:v>
      </x:c>
      <x:c r="D155" s="2" t="str">
        <x:v>Ngoại thành</x:v>
      </x:c>
      <x:c r="E155" s="10" t="d">
        <x:v>2026-10-27T17:00:00.000Z</x:v>
      </x:c>
      <x:c r="F155" s="10" t="d">
        <x:v>2026-10-27T16:00:00.000Z</x:v>
      </x:c>
      <x:c r="G155" s="2" t="str">
        <x:f>IF(F155&lt;=E155,"Đúng hẹn","Trễ hẹn")</x:f>
        <x:v>Đúng hẹn</x:v>
      </x:c>
    </x:row>
    <x:row r="156" ht="24" customHeight="1">
      <x:c r="A156" s="11" t="str">
        <x:v>FM000155</x:v>
      </x:c>
      <x:c r="B156" s="12" t="str">
        <x:f>TRIM(CLEAN(SUBSTITUTE(A156,CHAR(160)," ")))</x:f>
        <x:v>FM000155</x:v>
      </x:c>
      <x:c r="C156" s="14" t="n">
        <x:f>IF(B156="","Thiếu mã",IFERROR(VLOOKUP(B156,'GiaCuoc'!$A$2:$B$501,2,FALSE),"Cần kiểm tra mã"))</x:f>
        <x:v>30000</x:v>
      </x:c>
      <x:c r="D156" s="2" t="str">
        <x:v>Ngoại thành</x:v>
      </x:c>
      <x:c r="E156" s="10" t="d">
        <x:v>2026-10-27T17:00:00.000Z</x:v>
      </x:c>
      <x:c r="F156" s="10" t="d">
        <x:v>2026-10-27T16:00:00.000Z</x:v>
      </x:c>
      <x:c r="G156" s="2" t="str">
        <x:f>IF(F156&lt;=E156,"Đúng hẹn","Trễ hẹn")</x:f>
        <x:v>Đúng hẹn</x:v>
      </x:c>
    </x:row>
    <x:row r="157" ht="24" customHeight="1">
      <x:c r="A157" s="11" t="str">
        <x:v>FM000156</x:v>
      </x:c>
      <x:c r="B157" s="12" t="str">
        <x:f>TRIM(CLEAN(SUBSTITUTE(A157,CHAR(160)," ")))</x:f>
        <x:v>FM000156</x:v>
      </x:c>
      <x:c r="C157" s="14" t="n">
        <x:f>IF(B157="","Thiếu mã",IFERROR(VLOOKUP(B157,'GiaCuoc'!$A$2:$B$501,2,FALSE),"Cần kiểm tra mã"))</x:f>
        <x:v>30000</x:v>
      </x:c>
      <x:c r="D157" s="2" t="str">
        <x:v>Ngoại thành</x:v>
      </x:c>
      <x:c r="E157" s="10" t="d">
        <x:v>2026-10-27T17:00:00.000Z</x:v>
      </x:c>
      <x:c r="F157" s="10" t="d">
        <x:v>2026-10-27T16:00:00.000Z</x:v>
      </x:c>
      <x:c r="G157" s="2" t="str">
        <x:f>IF(F157&lt;=E157,"Đúng hẹn","Trễ hẹn")</x:f>
        <x:v>Đúng hẹn</x:v>
      </x:c>
    </x:row>
    <x:row r="158" ht="24" customHeight="1">
      <x:c r="A158" s="11" t="str">
        <x:v>FM000157</x:v>
      </x:c>
      <x:c r="B158" s="12" t="str">
        <x:f>TRIM(CLEAN(SUBSTITUTE(A158,CHAR(160)," ")))</x:f>
        <x:v>FM000157</x:v>
      </x:c>
      <x:c r="C158" s="14" t="n">
        <x:f>IF(B158="","Thiếu mã",IFERROR(VLOOKUP(B158,'GiaCuoc'!$A$2:$B$501,2,FALSE),"Cần kiểm tra mã"))</x:f>
        <x:v>30000</x:v>
      </x:c>
      <x:c r="D158" s="2" t="str">
        <x:v>Ngoại thành</x:v>
      </x:c>
      <x:c r="E158" s="10" t="d">
        <x:v>2026-10-27T17:00:00.000Z</x:v>
      </x:c>
      <x:c r="F158" s="10" t="d">
        <x:v>2026-10-27T16:00:00.000Z</x:v>
      </x:c>
      <x:c r="G158" s="2" t="str">
        <x:f>IF(F158&lt;=E158,"Đúng hẹn","Trễ hẹn")</x:f>
        <x:v>Đúng hẹn</x:v>
      </x:c>
    </x:row>
    <x:row r="159" ht="24" customHeight="1">
      <x:c r="A159" s="11" t="str">
        <x:v>FM000158</x:v>
      </x:c>
      <x:c r="B159" s="12" t="str">
        <x:f>TRIM(CLEAN(SUBSTITUTE(A159,CHAR(160)," ")))</x:f>
        <x:v>FM000158</x:v>
      </x:c>
      <x:c r="C159" s="14" t="n">
        <x:f>IF(B159="","Thiếu mã",IFERROR(VLOOKUP(B159,'GiaCuoc'!$A$2:$B$501,2,FALSE),"Cần kiểm tra mã"))</x:f>
        <x:v>30000</x:v>
      </x:c>
      <x:c r="D159" s="2" t="str">
        <x:v>Ngoại thành</x:v>
      </x:c>
      <x:c r="E159" s="10" t="d">
        <x:v>2026-10-27T17:00:00.000Z</x:v>
      </x:c>
      <x:c r="F159" s="10" t="d">
        <x:v>2026-10-27T16:00:00.000Z</x:v>
      </x:c>
      <x:c r="G159" s="2" t="str">
        <x:f>IF(F159&lt;=E159,"Đúng hẹn","Trễ hẹn")</x:f>
        <x:v>Đúng hẹn</x:v>
      </x:c>
    </x:row>
    <x:row r="160" ht="24" customHeight="1">
      <x:c r="A160" s="11" t="str">
        <x:v>FM000159</x:v>
      </x:c>
      <x:c r="B160" s="12" t="str">
        <x:f>TRIM(CLEAN(SUBSTITUTE(A160,CHAR(160)," ")))</x:f>
        <x:v>FM000159</x:v>
      </x:c>
      <x:c r="C160" s="14" t="n">
        <x:f>IF(B160="","Thiếu mã",IFERROR(VLOOKUP(B160,'GiaCuoc'!$A$2:$B$501,2,FALSE),"Cần kiểm tra mã"))</x:f>
        <x:v>30000</x:v>
      </x:c>
      <x:c r="D160" s="2" t="str">
        <x:v>Ngoại thành</x:v>
      </x:c>
      <x:c r="E160" s="10" t="d">
        <x:v>2026-10-27T17:00:00.000Z</x:v>
      </x:c>
      <x:c r="F160" s="10" t="d">
        <x:v>2026-10-27T16:00:00.000Z</x:v>
      </x:c>
      <x:c r="G160" s="2" t="str">
        <x:f>IF(F160&lt;=E160,"Đúng hẹn","Trễ hẹn")</x:f>
        <x:v>Đúng hẹn</x:v>
      </x:c>
    </x:row>
    <x:row r="161" ht="24" customHeight="1">
      <x:c r="A161" s="11" t="str">
        <x:v>FM000160</x:v>
      </x:c>
      <x:c r="B161" s="12" t="str">
        <x:f>TRIM(CLEAN(SUBSTITUTE(A161,CHAR(160)," ")))</x:f>
        <x:v>FM000160</x:v>
      </x:c>
      <x:c r="C161" s="14" t="n">
        <x:f>IF(B161="","Thiếu mã",IFERROR(VLOOKUP(B161,'GiaCuoc'!$A$2:$B$501,2,FALSE),"Cần kiểm tra mã"))</x:f>
        <x:v>30000</x:v>
      </x:c>
      <x:c r="D161" s="2" t="str">
        <x:v>Ngoại thành</x:v>
      </x:c>
      <x:c r="E161" s="10" t="d">
        <x:v>2026-10-27T17:00:00.000Z</x:v>
      </x:c>
      <x:c r="F161" s="10" t="d">
        <x:v>2026-10-27T16:00:00.000Z</x:v>
      </x:c>
      <x:c r="G161" s="2" t="str">
        <x:f>IF(F161&lt;=E161,"Đúng hẹn","Trễ hẹn")</x:f>
        <x:v>Đúng hẹn</x:v>
      </x:c>
    </x:row>
    <x:row r="162" ht="24" customHeight="1">
      <x:c r="A162" s="11" t="str">
        <x:v>FM000161</x:v>
      </x:c>
      <x:c r="B162" s="12" t="str">
        <x:f>TRIM(CLEAN(SUBSTITUTE(A162,CHAR(160)," ")))</x:f>
        <x:v>FM000161</x:v>
      </x:c>
      <x:c r="C162" s="14" t="n">
        <x:f>IF(B162="","Thiếu mã",IFERROR(VLOOKUP(B162,'GiaCuoc'!$A$2:$B$501,2,FALSE),"Cần kiểm tra mã"))</x:f>
        <x:v>30000</x:v>
      </x:c>
      <x:c r="D162" s="2" t="str">
        <x:v>Ngoại thành</x:v>
      </x:c>
      <x:c r="E162" s="10" t="d">
        <x:v>2026-10-27T17:00:00.000Z</x:v>
      </x:c>
      <x:c r="F162" s="10" t="d">
        <x:v>2026-10-27T16:00:00.000Z</x:v>
      </x:c>
      <x:c r="G162" s="2" t="str">
        <x:f>IF(F162&lt;=E162,"Đúng hẹn","Trễ hẹn")</x:f>
        <x:v>Đúng hẹn</x:v>
      </x:c>
    </x:row>
    <x:row r="163" ht="24" customHeight="1">
      <x:c r="A163" s="11" t="str">
        <x:v>FM000162</x:v>
      </x:c>
      <x:c r="B163" s="12" t="str">
        <x:f>TRIM(CLEAN(SUBSTITUTE(A163,CHAR(160)," ")))</x:f>
        <x:v>FM000162</x:v>
      </x:c>
      <x:c r="C163" s="14" t="n">
        <x:f>IF(B163="","Thiếu mã",IFERROR(VLOOKUP(B163,'GiaCuoc'!$A$2:$B$501,2,FALSE),"Cần kiểm tra mã"))</x:f>
        <x:v>30000</x:v>
      </x:c>
      <x:c r="D163" s="2" t="str">
        <x:v>Ngoại thành</x:v>
      </x:c>
      <x:c r="E163" s="10" t="d">
        <x:v>2026-10-27T17:00:00.000Z</x:v>
      </x:c>
      <x:c r="F163" s="10" t="d">
        <x:v>2026-10-27T16:00:00.000Z</x:v>
      </x:c>
      <x:c r="G163" s="2" t="str">
        <x:f>IF(F163&lt;=E163,"Đúng hẹn","Trễ hẹn")</x:f>
        <x:v>Đúng hẹn</x:v>
      </x:c>
    </x:row>
    <x:row r="164" ht="24" customHeight="1">
      <x:c r="A164" s="11" t="str">
        <x:v>FM000163</x:v>
      </x:c>
      <x:c r="B164" s="12" t="str">
        <x:f>TRIM(CLEAN(SUBSTITUTE(A164,CHAR(160)," ")))</x:f>
        <x:v>FM000163</x:v>
      </x:c>
      <x:c r="C164" s="14" t="n">
        <x:f>IF(B164="","Thiếu mã",IFERROR(VLOOKUP(B164,'GiaCuoc'!$A$2:$B$501,2,FALSE),"Cần kiểm tra mã"))</x:f>
        <x:v>30000</x:v>
      </x:c>
      <x:c r="D164" s="2" t="str">
        <x:v>Ngoại thành</x:v>
      </x:c>
      <x:c r="E164" s="10" t="d">
        <x:v>2026-10-27T17:00:00.000Z</x:v>
      </x:c>
      <x:c r="F164" s="10" t="d">
        <x:v>2026-10-27T16:00:00.000Z</x:v>
      </x:c>
      <x:c r="G164" s="2" t="str">
        <x:f>IF(F164&lt;=E164,"Đúng hẹn","Trễ hẹn")</x:f>
        <x:v>Đúng hẹn</x:v>
      </x:c>
    </x:row>
    <x:row r="165" ht="24" customHeight="1">
      <x:c r="A165" s="11" t="str">
        <x:v>FM000164</x:v>
      </x:c>
      <x:c r="B165" s="12" t="str">
        <x:f>TRIM(CLEAN(SUBSTITUTE(A165,CHAR(160)," ")))</x:f>
        <x:v>FM000164</x:v>
      </x:c>
      <x:c r="C165" s="14" t="n">
        <x:f>IF(B165="","Thiếu mã",IFERROR(VLOOKUP(B165,'GiaCuoc'!$A$2:$B$501,2,FALSE),"Cần kiểm tra mã"))</x:f>
        <x:v>30000</x:v>
      </x:c>
      <x:c r="D165" s="2" t="str">
        <x:v>Ngoại thành</x:v>
      </x:c>
      <x:c r="E165" s="10" t="d">
        <x:v>2026-10-27T17:00:00.000Z</x:v>
      </x:c>
      <x:c r="F165" s="10" t="d">
        <x:v>2026-10-27T16:00:00.000Z</x:v>
      </x:c>
      <x:c r="G165" s="2" t="str">
        <x:f>IF(F165&lt;=E165,"Đúng hẹn","Trễ hẹn")</x:f>
        <x:v>Đúng hẹn</x:v>
      </x:c>
    </x:row>
    <x:row r="166" ht="24" customHeight="1">
      <x:c r="A166" s="11" t="str">
        <x:v>FM000165</x:v>
      </x:c>
      <x:c r="B166" s="12" t="str">
        <x:f>TRIM(CLEAN(SUBSTITUTE(A166,CHAR(160)," ")))</x:f>
        <x:v>FM000165</x:v>
      </x:c>
      <x:c r="C166" s="14" t="n">
        <x:f>IF(B166="","Thiếu mã",IFERROR(VLOOKUP(B166,'GiaCuoc'!$A$2:$B$501,2,FALSE),"Cần kiểm tra mã"))</x:f>
        <x:v>30000</x:v>
      </x:c>
      <x:c r="D166" s="2" t="str">
        <x:v>Ngoại thành</x:v>
      </x:c>
      <x:c r="E166" s="10" t="d">
        <x:v>2026-10-27T17:00:00.000Z</x:v>
      </x:c>
      <x:c r="F166" s="10" t="d">
        <x:v>2026-10-27T16:00:00.000Z</x:v>
      </x:c>
      <x:c r="G166" s="2" t="str">
        <x:f>IF(F166&lt;=E166,"Đúng hẹn","Trễ hẹn")</x:f>
        <x:v>Đúng hẹn</x:v>
      </x:c>
    </x:row>
    <x:row r="167" ht="24" customHeight="1">
      <x:c r="A167" s="11" t="str">
        <x:v>FM000166</x:v>
      </x:c>
      <x:c r="B167" s="12" t="str">
        <x:f>TRIM(CLEAN(SUBSTITUTE(A167,CHAR(160)," ")))</x:f>
        <x:v>FM000166</x:v>
      </x:c>
      <x:c r="C167" s="14" t="n">
        <x:f>IF(B167="","Thiếu mã",IFERROR(VLOOKUP(B167,'GiaCuoc'!$A$2:$B$501,2,FALSE),"Cần kiểm tra mã"))</x:f>
        <x:v>30000</x:v>
      </x:c>
      <x:c r="D167" s="2" t="str">
        <x:v>Ngoại thành</x:v>
      </x:c>
      <x:c r="E167" s="10" t="d">
        <x:v>2026-10-27T17:00:00.000Z</x:v>
      </x:c>
      <x:c r="F167" s="10" t="d">
        <x:v>2026-10-27T16:00:00.000Z</x:v>
      </x:c>
      <x:c r="G167" s="2" t="str">
        <x:f>IF(F167&lt;=E167,"Đúng hẹn","Trễ hẹn")</x:f>
        <x:v>Đúng hẹn</x:v>
      </x:c>
    </x:row>
    <x:row r="168" ht="24" customHeight="1">
      <x:c r="A168" s="11" t="str">
        <x:v>FM000167</x:v>
      </x:c>
      <x:c r="B168" s="12" t="str">
        <x:f>TRIM(CLEAN(SUBSTITUTE(A168,CHAR(160)," ")))</x:f>
        <x:v>FM000167</x:v>
      </x:c>
      <x:c r="C168" s="14" t="n">
        <x:f>IF(B168="","Thiếu mã",IFERROR(VLOOKUP(B168,'GiaCuoc'!$A$2:$B$501,2,FALSE),"Cần kiểm tra mã"))</x:f>
        <x:v>30000</x:v>
      </x:c>
      <x:c r="D168" s="2" t="str">
        <x:v>Ngoại thành</x:v>
      </x:c>
      <x:c r="E168" s="10" t="d">
        <x:v>2026-10-27T17:00:00.000Z</x:v>
      </x:c>
      <x:c r="F168" s="10" t="d">
        <x:v>2026-10-27T16:00:00.000Z</x:v>
      </x:c>
      <x:c r="G168" s="2" t="str">
        <x:f>IF(F168&lt;=E168,"Đúng hẹn","Trễ hẹn")</x:f>
        <x:v>Đúng hẹn</x:v>
      </x:c>
    </x:row>
    <x:row r="169" ht="24" customHeight="1">
      <x:c r="A169" s="11" t="str">
        <x:v>FM000168</x:v>
      </x:c>
      <x:c r="B169" s="12" t="str">
        <x:f>TRIM(CLEAN(SUBSTITUTE(A169,CHAR(160)," ")))</x:f>
        <x:v>FM000168</x:v>
      </x:c>
      <x:c r="C169" s="14" t="n">
        <x:f>IF(B169="","Thiếu mã",IFERROR(VLOOKUP(B169,'GiaCuoc'!$A$2:$B$501,2,FALSE),"Cần kiểm tra mã"))</x:f>
        <x:v>30000</x:v>
      </x:c>
      <x:c r="D169" s="2" t="str">
        <x:v>Ngoại thành</x:v>
      </x:c>
      <x:c r="E169" s="10" t="d">
        <x:v>2026-10-27T17:00:00.000Z</x:v>
      </x:c>
      <x:c r="F169" s="10" t="d">
        <x:v>2026-10-27T16:00:00.000Z</x:v>
      </x:c>
      <x:c r="G169" s="2" t="str">
        <x:f>IF(F169&lt;=E169,"Đúng hẹn","Trễ hẹn")</x:f>
        <x:v>Đúng hẹn</x:v>
      </x:c>
    </x:row>
    <x:row r="170" ht="24" customHeight="1">
      <x:c r="A170" s="11" t="str">
        <x:v>FM000169</x:v>
      </x:c>
      <x:c r="B170" s="12" t="str">
        <x:f>TRIM(CLEAN(SUBSTITUTE(A170,CHAR(160)," ")))</x:f>
        <x:v>FM000169</x:v>
      </x:c>
      <x:c r="C170" s="14" t="n">
        <x:f>IF(B170="","Thiếu mã",IFERROR(VLOOKUP(B170,'GiaCuoc'!$A$2:$B$501,2,FALSE),"Cần kiểm tra mã"))</x:f>
        <x:v>30000</x:v>
      </x:c>
      <x:c r="D170" s="2" t="str">
        <x:v>Ngoại thành</x:v>
      </x:c>
      <x:c r="E170" s="10" t="d">
        <x:v>2026-10-27T17:00:00.000Z</x:v>
      </x:c>
      <x:c r="F170" s="10" t="d">
        <x:v>2026-10-27T16:00:00.000Z</x:v>
      </x:c>
      <x:c r="G170" s="2" t="str">
        <x:f>IF(F170&lt;=E170,"Đúng hẹn","Trễ hẹn")</x:f>
        <x:v>Đúng hẹn</x:v>
      </x:c>
    </x:row>
    <x:row r="171" ht="24" customHeight="1">
      <x:c r="A171" s="11" t="str">
        <x:v>FM000170</x:v>
      </x:c>
      <x:c r="B171" s="12" t="str">
        <x:f>TRIM(CLEAN(SUBSTITUTE(A171,CHAR(160)," ")))</x:f>
        <x:v>FM000170</x:v>
      </x:c>
      <x:c r="C171" s="14" t="n">
        <x:f>IF(B171="","Thiếu mã",IFERROR(VLOOKUP(B171,'GiaCuoc'!$A$2:$B$501,2,FALSE),"Cần kiểm tra mã"))</x:f>
        <x:v>30000</x:v>
      </x:c>
      <x:c r="D171" s="2" t="str">
        <x:v>Ngoại thành</x:v>
      </x:c>
      <x:c r="E171" s="10" t="d">
        <x:v>2026-10-27T17:00:00.000Z</x:v>
      </x:c>
      <x:c r="F171" s="10" t="d">
        <x:v>2026-10-27T16:00:00.000Z</x:v>
      </x:c>
      <x:c r="G171" s="2" t="str">
        <x:f>IF(F171&lt;=E171,"Đúng hẹn","Trễ hẹn")</x:f>
        <x:v>Đúng hẹn</x:v>
      </x:c>
    </x:row>
    <x:row r="172" ht="24" customHeight="1">
      <x:c r="A172" s="11" t="str">
        <x:v>FM000171</x:v>
      </x:c>
      <x:c r="B172" s="12" t="str">
        <x:f>TRIM(CLEAN(SUBSTITUTE(A172,CHAR(160)," ")))</x:f>
        <x:v>FM000171</x:v>
      </x:c>
      <x:c r="C172" s="14" t="n">
        <x:f>IF(B172="","Thiếu mã",IFERROR(VLOOKUP(B172,'GiaCuoc'!$A$2:$B$501,2,FALSE),"Cần kiểm tra mã"))</x:f>
        <x:v>30000</x:v>
      </x:c>
      <x:c r="D172" s="2" t="str">
        <x:v>Ngoại thành</x:v>
      </x:c>
      <x:c r="E172" s="10" t="d">
        <x:v>2026-10-27T17:00:00.000Z</x:v>
      </x:c>
      <x:c r="F172" s="10" t="d">
        <x:v>2026-10-27T16:00:00.000Z</x:v>
      </x:c>
      <x:c r="G172" s="2" t="str">
        <x:f>IF(F172&lt;=E172,"Đúng hẹn","Trễ hẹn")</x:f>
        <x:v>Đúng hẹn</x:v>
      </x:c>
    </x:row>
    <x:row r="173" ht="24" customHeight="1">
      <x:c r="A173" s="11" t="str">
        <x:v>FM000172</x:v>
      </x:c>
      <x:c r="B173" s="12" t="str">
        <x:f>TRIM(CLEAN(SUBSTITUTE(A173,CHAR(160)," ")))</x:f>
        <x:v>FM000172</x:v>
      </x:c>
      <x:c r="C173" s="14" t="n">
        <x:f>IF(B173="","Thiếu mã",IFERROR(VLOOKUP(B173,'GiaCuoc'!$A$2:$B$501,2,FALSE),"Cần kiểm tra mã"))</x:f>
        <x:v>30000</x:v>
      </x:c>
      <x:c r="D173" s="2" t="str">
        <x:v>Ngoại thành</x:v>
      </x:c>
      <x:c r="E173" s="10" t="d">
        <x:v>2026-10-27T17:00:00.000Z</x:v>
      </x:c>
      <x:c r="F173" s="10" t="d">
        <x:v>2026-10-27T16:00:00.000Z</x:v>
      </x:c>
      <x:c r="G173" s="2" t="str">
        <x:f>IF(F173&lt;=E173,"Đúng hẹn","Trễ hẹn")</x:f>
        <x:v>Đúng hẹn</x:v>
      </x:c>
    </x:row>
    <x:row r="174" ht="24" customHeight="1">
      <x:c r="A174" s="11" t="str">
        <x:v>FM000173</x:v>
      </x:c>
      <x:c r="B174" s="12" t="str">
        <x:f>TRIM(CLEAN(SUBSTITUTE(A174,CHAR(160)," ")))</x:f>
        <x:v>FM000173</x:v>
      </x:c>
      <x:c r="C174" s="14" t="n">
        <x:f>IF(B174="","Thiếu mã",IFERROR(VLOOKUP(B174,'GiaCuoc'!$A$2:$B$501,2,FALSE),"Cần kiểm tra mã"))</x:f>
        <x:v>30000</x:v>
      </x:c>
      <x:c r="D174" s="2" t="str">
        <x:v>Ngoại thành</x:v>
      </x:c>
      <x:c r="E174" s="10" t="d">
        <x:v>2026-10-27T17:00:00.000Z</x:v>
      </x:c>
      <x:c r="F174" s="10" t="d">
        <x:v>2026-10-27T16:00:00.000Z</x:v>
      </x:c>
      <x:c r="G174" s="2" t="str">
        <x:f>IF(F174&lt;=E174,"Đúng hẹn","Trễ hẹn")</x:f>
        <x:v>Đúng hẹn</x:v>
      </x:c>
    </x:row>
    <x:row r="175" ht="24" customHeight="1">
      <x:c r="A175" s="11" t="str">
        <x:v>FM000174</x:v>
      </x:c>
      <x:c r="B175" s="12" t="str">
        <x:f>TRIM(CLEAN(SUBSTITUTE(A175,CHAR(160)," ")))</x:f>
        <x:v>FM000174</x:v>
      </x:c>
      <x:c r="C175" s="14" t="n">
        <x:f>IF(B175="","Thiếu mã",IFERROR(VLOOKUP(B175,'GiaCuoc'!$A$2:$B$501,2,FALSE),"Cần kiểm tra mã"))</x:f>
        <x:v>30000</x:v>
      </x:c>
      <x:c r="D175" s="2" t="str">
        <x:v>Ngoại thành</x:v>
      </x:c>
      <x:c r="E175" s="10" t="d">
        <x:v>2026-10-27T17:00:00.000Z</x:v>
      </x:c>
      <x:c r="F175" s="10" t="d">
        <x:v>2026-10-27T16:00:00.000Z</x:v>
      </x:c>
      <x:c r="G175" s="2" t="str">
        <x:f>IF(F175&lt;=E175,"Đúng hẹn","Trễ hẹn")</x:f>
        <x:v>Đúng hẹn</x:v>
      </x:c>
    </x:row>
    <x:row r="176" ht="24" customHeight="1">
      <x:c r="A176" s="11" t="str">
        <x:v>FM000175</x:v>
      </x:c>
      <x:c r="B176" s="12" t="str">
        <x:f>TRIM(CLEAN(SUBSTITUTE(A176,CHAR(160)," ")))</x:f>
        <x:v>FM000175</x:v>
      </x:c>
      <x:c r="C176" s="14" t="n">
        <x:f>IF(B176="","Thiếu mã",IFERROR(VLOOKUP(B176,'GiaCuoc'!$A$2:$B$501,2,FALSE),"Cần kiểm tra mã"))</x:f>
        <x:v>30000</x:v>
      </x:c>
      <x:c r="D176" s="2" t="str">
        <x:v>Ngoại thành</x:v>
      </x:c>
      <x:c r="E176" s="10" t="d">
        <x:v>2026-10-27T17:00:00.000Z</x:v>
      </x:c>
      <x:c r="F176" s="10" t="d">
        <x:v>2026-10-27T16:00:00.000Z</x:v>
      </x:c>
      <x:c r="G176" s="2" t="str">
        <x:f>IF(F176&lt;=E176,"Đúng hẹn","Trễ hẹn")</x:f>
        <x:v>Đúng hẹn</x:v>
      </x:c>
    </x:row>
    <x:row r="177" ht="24" customHeight="1">
      <x:c r="A177" s="11" t="str">
        <x:v>FM000176</x:v>
      </x:c>
      <x:c r="B177" s="12" t="str">
        <x:f>TRIM(CLEAN(SUBSTITUTE(A177,CHAR(160)," ")))</x:f>
        <x:v>FM000176</x:v>
      </x:c>
      <x:c r="C177" s="14" t="n">
        <x:f>IF(B177="","Thiếu mã",IFERROR(VLOOKUP(B177,'GiaCuoc'!$A$2:$B$501,2,FALSE),"Cần kiểm tra mã"))</x:f>
        <x:v>30000</x:v>
      </x:c>
      <x:c r="D177" s="2" t="str">
        <x:v>Ngoại thành</x:v>
      </x:c>
      <x:c r="E177" s="10" t="d">
        <x:v>2026-10-27T17:00:00.000Z</x:v>
      </x:c>
      <x:c r="F177" s="10" t="d">
        <x:v>2026-10-27T16:00:00.000Z</x:v>
      </x:c>
      <x:c r="G177" s="2" t="str">
        <x:f>IF(F177&lt;=E177,"Đúng hẹn","Trễ hẹn")</x:f>
        <x:v>Đúng hẹn</x:v>
      </x:c>
    </x:row>
    <x:row r="178" ht="24" customHeight="1">
      <x:c r="A178" s="11" t="str">
        <x:v>FM000177</x:v>
      </x:c>
      <x:c r="B178" s="12" t="str">
        <x:f>TRIM(CLEAN(SUBSTITUTE(A178,CHAR(160)," ")))</x:f>
        <x:v>FM000177</x:v>
      </x:c>
      <x:c r="C178" s="14" t="n">
        <x:f>IF(B178="","Thiếu mã",IFERROR(VLOOKUP(B178,'GiaCuoc'!$A$2:$B$501,2,FALSE),"Cần kiểm tra mã"))</x:f>
        <x:v>30000</x:v>
      </x:c>
      <x:c r="D178" s="2" t="str">
        <x:v>Ngoại thành</x:v>
      </x:c>
      <x:c r="E178" s="10" t="d">
        <x:v>2026-10-27T17:00:00.000Z</x:v>
      </x:c>
      <x:c r="F178" s="10" t="d">
        <x:v>2026-10-27T16:00:00.000Z</x:v>
      </x:c>
      <x:c r="G178" s="2" t="str">
        <x:f>IF(F178&lt;=E178,"Đúng hẹn","Trễ hẹn")</x:f>
        <x:v>Đúng hẹn</x:v>
      </x:c>
    </x:row>
    <x:row r="179" ht="24" customHeight="1">
      <x:c r="A179" s="11" t="str">
        <x:v>FM000178</x:v>
      </x:c>
      <x:c r="B179" s="12" t="str">
        <x:f>TRIM(CLEAN(SUBSTITUTE(A179,CHAR(160)," ")))</x:f>
        <x:v>FM000178</x:v>
      </x:c>
      <x:c r="C179" s="14" t="n">
        <x:f>IF(B179="","Thiếu mã",IFERROR(VLOOKUP(B179,'GiaCuoc'!$A$2:$B$501,2,FALSE),"Cần kiểm tra mã"))</x:f>
        <x:v>30000</x:v>
      </x:c>
      <x:c r="D179" s="2" t="str">
        <x:v>Ngoại thành</x:v>
      </x:c>
      <x:c r="E179" s="10" t="d">
        <x:v>2026-10-27T17:00:00.000Z</x:v>
      </x:c>
      <x:c r="F179" s="10" t="d">
        <x:v>2026-10-27T16:00:00.000Z</x:v>
      </x:c>
      <x:c r="G179" s="2" t="str">
        <x:f>IF(F179&lt;=E179,"Đúng hẹn","Trễ hẹn")</x:f>
        <x:v>Đúng hẹn</x:v>
      </x:c>
    </x:row>
    <x:row r="180" ht="24" customHeight="1">
      <x:c r="A180" s="11" t="str">
        <x:v>FM000179</x:v>
      </x:c>
      <x:c r="B180" s="12" t="str">
        <x:f>TRIM(CLEAN(SUBSTITUTE(A180,CHAR(160)," ")))</x:f>
        <x:v>FM000179</x:v>
      </x:c>
      <x:c r="C180" s="14" t="n">
        <x:f>IF(B180="","Thiếu mã",IFERROR(VLOOKUP(B180,'GiaCuoc'!$A$2:$B$501,2,FALSE),"Cần kiểm tra mã"))</x:f>
        <x:v>30000</x:v>
      </x:c>
      <x:c r="D180" s="2" t="str">
        <x:v>Ngoại thành</x:v>
      </x:c>
      <x:c r="E180" s="10" t="d">
        <x:v>2026-10-27T17:00:00.000Z</x:v>
      </x:c>
      <x:c r="F180" s="10" t="d">
        <x:v>2026-10-27T16:00:00.000Z</x:v>
      </x:c>
      <x:c r="G180" s="2" t="str">
        <x:f>IF(F180&lt;=E180,"Đúng hẹn","Trễ hẹn")</x:f>
        <x:v>Đúng hẹn</x:v>
      </x:c>
    </x:row>
    <x:row r="181" ht="24" customHeight="1">
      <x:c r="A181" s="11" t="str">
        <x:v>FM000180</x:v>
      </x:c>
      <x:c r="B181" s="12" t="str">
        <x:f>TRIM(CLEAN(SUBSTITUTE(A181,CHAR(160)," ")))</x:f>
        <x:v>FM000180</x:v>
      </x:c>
      <x:c r="C181" s="14" t="n">
        <x:f>IF(B181="","Thiếu mã",IFERROR(VLOOKUP(B181,'GiaCuoc'!$A$2:$B$501,2,FALSE),"Cần kiểm tra mã"))</x:f>
        <x:v>30000</x:v>
      </x:c>
      <x:c r="D181" s="2" t="str">
        <x:v>Ngoại thành</x:v>
      </x:c>
      <x:c r="E181" s="10" t="d">
        <x:v>2026-10-27T17:00:00.000Z</x:v>
      </x:c>
      <x:c r="F181" s="10" t="d">
        <x:v>2026-10-27T16:00:00.000Z</x:v>
      </x:c>
      <x:c r="G181" s="2" t="str">
        <x:f>IF(F181&lt;=E181,"Đúng hẹn","Trễ hẹn")</x:f>
        <x:v>Đúng hẹn</x:v>
      </x:c>
    </x:row>
    <x:row r="182" ht="24" customHeight="1">
      <x:c r="A182" s="11" t="str">
        <x:v>FM000181</x:v>
      </x:c>
      <x:c r="B182" s="12" t="str">
        <x:f>TRIM(CLEAN(SUBSTITUTE(A182,CHAR(160)," ")))</x:f>
        <x:v>FM000181</x:v>
      </x:c>
      <x:c r="C182" s="14" t="n">
        <x:f>IF(B182="","Thiếu mã",IFERROR(VLOOKUP(B182,'GiaCuoc'!$A$2:$B$501,2,FALSE),"Cần kiểm tra mã"))</x:f>
        <x:v>30000</x:v>
      </x:c>
      <x:c r="D182" s="2" t="str">
        <x:v>Ngoại thành</x:v>
      </x:c>
      <x:c r="E182" s="10" t="d">
        <x:v>2026-10-27T17:00:00.000Z</x:v>
      </x:c>
      <x:c r="F182" s="10" t="d">
        <x:v>2026-10-27T16:00:00.000Z</x:v>
      </x:c>
      <x:c r="G182" s="2" t="str">
        <x:f>IF(F182&lt;=E182,"Đúng hẹn","Trễ hẹn")</x:f>
        <x:v>Đúng hẹn</x:v>
      </x:c>
    </x:row>
    <x:row r="183" ht="24" customHeight="1">
      <x:c r="A183" s="11" t="str">
        <x:v>FM000182</x:v>
      </x:c>
      <x:c r="B183" s="12" t="str">
        <x:f>TRIM(CLEAN(SUBSTITUTE(A183,CHAR(160)," ")))</x:f>
        <x:v>FM000182</x:v>
      </x:c>
      <x:c r="C183" s="14" t="n">
        <x:f>IF(B183="","Thiếu mã",IFERROR(VLOOKUP(B183,'GiaCuoc'!$A$2:$B$501,2,FALSE),"Cần kiểm tra mã"))</x:f>
        <x:v>30000</x:v>
      </x:c>
      <x:c r="D183" s="2" t="str">
        <x:v>Ngoại thành</x:v>
      </x:c>
      <x:c r="E183" s="10" t="d">
        <x:v>2026-10-27T17:00:00.000Z</x:v>
      </x:c>
      <x:c r="F183" s="10" t="d">
        <x:v>2026-10-27T16:00:00.000Z</x:v>
      </x:c>
      <x:c r="G183" s="2" t="str">
        <x:f>IF(F183&lt;=E183,"Đúng hẹn","Trễ hẹn")</x:f>
        <x:v>Đúng hẹn</x:v>
      </x:c>
    </x:row>
    <x:row r="184" ht="24" customHeight="1">
      <x:c r="A184" s="11" t="str">
        <x:v>FM000183</x:v>
      </x:c>
      <x:c r="B184" s="12" t="str">
        <x:f>TRIM(CLEAN(SUBSTITUTE(A184,CHAR(160)," ")))</x:f>
        <x:v>FM000183</x:v>
      </x:c>
      <x:c r="C184" s="14" t="n">
        <x:f>IF(B184="","Thiếu mã",IFERROR(VLOOKUP(B184,'GiaCuoc'!$A$2:$B$501,2,FALSE),"Cần kiểm tra mã"))</x:f>
        <x:v>30000</x:v>
      </x:c>
      <x:c r="D184" s="2" t="str">
        <x:v>Ngoại thành</x:v>
      </x:c>
      <x:c r="E184" s="10" t="d">
        <x:v>2026-10-27T17:00:00.000Z</x:v>
      </x:c>
      <x:c r="F184" s="10" t="d">
        <x:v>2026-10-27T16:00:00.000Z</x:v>
      </x:c>
      <x:c r="G184" s="2" t="str">
        <x:f>IF(F184&lt;=E184,"Đúng hẹn","Trễ hẹn")</x:f>
        <x:v>Đúng hẹn</x:v>
      </x:c>
    </x:row>
    <x:row r="185" ht="24" customHeight="1">
      <x:c r="A185" s="11" t="str">
        <x:v>FM000184</x:v>
      </x:c>
      <x:c r="B185" s="12" t="str">
        <x:f>TRIM(CLEAN(SUBSTITUTE(A185,CHAR(160)," ")))</x:f>
        <x:v>FM000184</x:v>
      </x:c>
      <x:c r="C185" s="14" t="n">
        <x:f>IF(B185="","Thiếu mã",IFERROR(VLOOKUP(B185,'GiaCuoc'!$A$2:$B$501,2,FALSE),"Cần kiểm tra mã"))</x:f>
        <x:v>30000</x:v>
      </x:c>
      <x:c r="D185" s="2" t="str">
        <x:v>Ngoại thành</x:v>
      </x:c>
      <x:c r="E185" s="10" t="d">
        <x:v>2026-10-27T17:00:00.000Z</x:v>
      </x:c>
      <x:c r="F185" s="10" t="d">
        <x:v>2026-10-27T16:00:00.000Z</x:v>
      </x:c>
      <x:c r="G185" s="2" t="str">
        <x:f>IF(F185&lt;=E185,"Đúng hẹn","Trễ hẹn")</x:f>
        <x:v>Đúng hẹn</x:v>
      </x:c>
    </x:row>
    <x:row r="186" ht="24" customHeight="1">
      <x:c r="A186" s="11" t="str">
        <x:v>FM000185</x:v>
      </x:c>
      <x:c r="B186" s="12" t="str">
        <x:f>TRIM(CLEAN(SUBSTITUTE(A186,CHAR(160)," ")))</x:f>
        <x:v>FM000185</x:v>
      </x:c>
      <x:c r="C186" s="14" t="n">
        <x:f>IF(B186="","Thiếu mã",IFERROR(VLOOKUP(B186,'GiaCuoc'!$A$2:$B$501,2,FALSE),"Cần kiểm tra mã"))</x:f>
        <x:v>30000</x:v>
      </x:c>
      <x:c r="D186" s="2" t="str">
        <x:v>Ngoại thành</x:v>
      </x:c>
      <x:c r="E186" s="10" t="d">
        <x:v>2026-10-27T17:00:00.000Z</x:v>
      </x:c>
      <x:c r="F186" s="10" t="d">
        <x:v>2026-10-27T16:00:00.000Z</x:v>
      </x:c>
      <x:c r="G186" s="2" t="str">
        <x:f>IF(F186&lt;=E186,"Đúng hẹn","Trễ hẹn")</x:f>
        <x:v>Đúng hẹn</x:v>
      </x:c>
    </x:row>
    <x:row r="187" ht="24" customHeight="1">
      <x:c r="A187" s="11" t="str">
        <x:v>FM000186</x:v>
      </x:c>
      <x:c r="B187" s="12" t="str">
        <x:f>TRIM(CLEAN(SUBSTITUTE(A187,CHAR(160)," ")))</x:f>
        <x:v>FM000186</x:v>
      </x:c>
      <x:c r="C187" s="14" t="n">
        <x:f>IF(B187="","Thiếu mã",IFERROR(VLOOKUP(B187,'GiaCuoc'!$A$2:$B$501,2,FALSE),"Cần kiểm tra mã"))</x:f>
        <x:v>30000</x:v>
      </x:c>
      <x:c r="D187" s="2" t="str">
        <x:v>Ngoại thành</x:v>
      </x:c>
      <x:c r="E187" s="10" t="d">
        <x:v>2026-10-27T17:00:00.000Z</x:v>
      </x:c>
      <x:c r="F187" s="10" t="d">
        <x:v>2026-10-27T16:00:00.000Z</x:v>
      </x:c>
      <x:c r="G187" s="2" t="str">
        <x:f>IF(F187&lt;=E187,"Đúng hẹn","Trễ hẹn")</x:f>
        <x:v>Đúng hẹn</x:v>
      </x:c>
    </x:row>
    <x:row r="188" ht="24" customHeight="1">
      <x:c r="A188" s="11" t="str">
        <x:v>FM000187</x:v>
      </x:c>
      <x:c r="B188" s="12" t="str">
        <x:f>TRIM(CLEAN(SUBSTITUTE(A188,CHAR(160)," ")))</x:f>
        <x:v>FM000187</x:v>
      </x:c>
      <x:c r="C188" s="14" t="n">
        <x:f>IF(B188="","Thiếu mã",IFERROR(VLOOKUP(B188,'GiaCuoc'!$A$2:$B$501,2,FALSE),"Cần kiểm tra mã"))</x:f>
        <x:v>30000</x:v>
      </x:c>
      <x:c r="D188" s="2" t="str">
        <x:v>Ngoại thành</x:v>
      </x:c>
      <x:c r="E188" s="10" t="d">
        <x:v>2026-10-27T17:00:00.000Z</x:v>
      </x:c>
      <x:c r="F188" s="10" t="d">
        <x:v>2026-10-27T16:00:00.000Z</x:v>
      </x:c>
      <x:c r="G188" s="2" t="str">
        <x:f>IF(F188&lt;=E188,"Đúng hẹn","Trễ hẹn")</x:f>
        <x:v>Đúng hẹn</x:v>
      </x:c>
    </x:row>
    <x:row r="189" ht="24" customHeight="1">
      <x:c r="A189" s="11" t="str">
        <x:v>FM000188</x:v>
      </x:c>
      <x:c r="B189" s="12" t="str">
        <x:f>TRIM(CLEAN(SUBSTITUTE(A189,CHAR(160)," ")))</x:f>
        <x:v>FM000188</x:v>
      </x:c>
      <x:c r="C189" s="14" t="n">
        <x:f>IF(B189="","Thiếu mã",IFERROR(VLOOKUP(B189,'GiaCuoc'!$A$2:$B$501,2,FALSE),"Cần kiểm tra mã"))</x:f>
        <x:v>30000</x:v>
      </x:c>
      <x:c r="D189" s="2" t="str">
        <x:v>Ngoại thành</x:v>
      </x:c>
      <x:c r="E189" s="10" t="d">
        <x:v>2026-10-27T17:00:00.000Z</x:v>
      </x:c>
      <x:c r="F189" s="10" t="d">
        <x:v>2026-10-27T16:00:00.000Z</x:v>
      </x:c>
      <x:c r="G189" s="2" t="str">
        <x:f>IF(F189&lt;=E189,"Đúng hẹn","Trễ hẹn")</x:f>
        <x:v>Đúng hẹn</x:v>
      </x:c>
    </x:row>
    <x:row r="190" ht="24" customHeight="1">
      <x:c r="A190" s="11" t="str">
        <x:v>FM000189</x:v>
      </x:c>
      <x:c r="B190" s="12" t="str">
        <x:f>TRIM(CLEAN(SUBSTITUTE(A190,CHAR(160)," ")))</x:f>
        <x:v>FM000189</x:v>
      </x:c>
      <x:c r="C190" s="14" t="n">
        <x:f>IF(B190="","Thiếu mã",IFERROR(VLOOKUP(B190,'GiaCuoc'!$A$2:$B$501,2,FALSE),"Cần kiểm tra mã"))</x:f>
        <x:v>30000</x:v>
      </x:c>
      <x:c r="D190" s="2" t="str">
        <x:v>Ngoại thành</x:v>
      </x:c>
      <x:c r="E190" s="10" t="d">
        <x:v>2026-10-27T17:00:00.000Z</x:v>
      </x:c>
      <x:c r="F190" s="10" t="d">
        <x:v>2026-10-27T16:00:00.000Z</x:v>
      </x:c>
      <x:c r="G190" s="2" t="str">
        <x:f>IF(F190&lt;=E190,"Đúng hẹn","Trễ hẹn")</x:f>
        <x:v>Đúng hẹn</x:v>
      </x:c>
    </x:row>
    <x:row r="191" ht="24" customHeight="1">
      <x:c r="A191" s="11" t="str">
        <x:v>FM000190</x:v>
      </x:c>
      <x:c r="B191" s="12" t="str">
        <x:f>TRIM(CLEAN(SUBSTITUTE(A191,CHAR(160)," ")))</x:f>
        <x:v>FM000190</x:v>
      </x:c>
      <x:c r="C191" s="14" t="n">
        <x:f>IF(B191="","Thiếu mã",IFERROR(VLOOKUP(B191,'GiaCuoc'!$A$2:$B$501,2,FALSE),"Cần kiểm tra mã"))</x:f>
        <x:v>30000</x:v>
      </x:c>
      <x:c r="D191" s="2" t="str">
        <x:v>Ngoại thành</x:v>
      </x:c>
      <x:c r="E191" s="10" t="d">
        <x:v>2026-10-27T17:00:00.000Z</x:v>
      </x:c>
      <x:c r="F191" s="10" t="d">
        <x:v>2026-10-27T16:00:00.000Z</x:v>
      </x:c>
      <x:c r="G191" s="2" t="str">
        <x:f>IF(F191&lt;=E191,"Đúng hẹn","Trễ hẹn")</x:f>
        <x:v>Đúng hẹn</x:v>
      </x:c>
    </x:row>
    <x:row r="192" ht="24" customHeight="1">
      <x:c r="A192" s="11" t="str">
        <x:v>FM000191</x:v>
      </x:c>
      <x:c r="B192" s="12" t="str">
        <x:f>TRIM(CLEAN(SUBSTITUTE(A192,CHAR(160)," ")))</x:f>
        <x:v>FM000191</x:v>
      </x:c>
      <x:c r="C192" s="14" t="n">
        <x:f>IF(B192="","Thiếu mã",IFERROR(VLOOKUP(B192,'GiaCuoc'!$A$2:$B$501,2,FALSE),"Cần kiểm tra mã"))</x:f>
        <x:v>30000</x:v>
      </x:c>
      <x:c r="D192" s="2" t="str">
        <x:v>Ngoại thành</x:v>
      </x:c>
      <x:c r="E192" s="10" t="d">
        <x:v>2026-10-27T17:00:00.000Z</x:v>
      </x:c>
      <x:c r="F192" s="10" t="d">
        <x:v>2026-10-27T16:00:00.000Z</x:v>
      </x:c>
      <x:c r="G192" s="2" t="str">
        <x:f>IF(F192&lt;=E192,"Đúng hẹn","Trễ hẹn")</x:f>
        <x:v>Đúng hẹn</x:v>
      </x:c>
    </x:row>
    <x:row r="193" ht="24" customHeight="1">
      <x:c r="A193" s="11" t="str">
        <x:v>FM000192</x:v>
      </x:c>
      <x:c r="B193" s="12" t="str">
        <x:f>TRIM(CLEAN(SUBSTITUTE(A193,CHAR(160)," ")))</x:f>
        <x:v>FM000192</x:v>
      </x:c>
      <x:c r="C193" s="14" t="n">
        <x:f>IF(B193="","Thiếu mã",IFERROR(VLOOKUP(B193,'GiaCuoc'!$A$2:$B$501,2,FALSE),"Cần kiểm tra mã"))</x:f>
        <x:v>30000</x:v>
      </x:c>
      <x:c r="D193" s="2" t="str">
        <x:v>Ngoại thành</x:v>
      </x:c>
      <x:c r="E193" s="10" t="d">
        <x:v>2026-10-27T17:00:00.000Z</x:v>
      </x:c>
      <x:c r="F193" s="10" t="d">
        <x:v>2026-10-27T16:00:00.000Z</x:v>
      </x:c>
      <x:c r="G193" s="2" t="str">
        <x:f>IF(F193&lt;=E193,"Đúng hẹn","Trễ hẹn")</x:f>
        <x:v>Đúng hẹn</x:v>
      </x:c>
    </x:row>
    <x:row r="194" ht="24" customHeight="1">
      <x:c r="A194" s="11" t="str">
        <x:v>FM000193</x:v>
      </x:c>
      <x:c r="B194" s="12" t="str">
        <x:f>TRIM(CLEAN(SUBSTITUTE(A194,CHAR(160)," ")))</x:f>
        <x:v>FM000193</x:v>
      </x:c>
      <x:c r="C194" s="14" t="n">
        <x:f>IF(B194="","Thiếu mã",IFERROR(VLOOKUP(B194,'GiaCuoc'!$A$2:$B$501,2,FALSE),"Cần kiểm tra mã"))</x:f>
        <x:v>30000</x:v>
      </x:c>
      <x:c r="D194" s="2" t="str">
        <x:v>Ngoại thành</x:v>
      </x:c>
      <x:c r="E194" s="10" t="d">
        <x:v>2026-10-27T17:00:00.000Z</x:v>
      </x:c>
      <x:c r="F194" s="10" t="d">
        <x:v>2026-10-27T16:00:00.000Z</x:v>
      </x:c>
      <x:c r="G194" s="2" t="str">
        <x:f>IF(F194&lt;=E194,"Đúng hẹn","Trễ hẹn")</x:f>
        <x:v>Đúng hẹn</x:v>
      </x:c>
    </x:row>
    <x:row r="195" ht="24" customHeight="1">
      <x:c r="A195" s="11" t="str">
        <x:v>FM000194</x:v>
      </x:c>
      <x:c r="B195" s="12" t="str">
        <x:f>TRIM(CLEAN(SUBSTITUTE(A195,CHAR(160)," ")))</x:f>
        <x:v>FM000194</x:v>
      </x:c>
      <x:c r="C195" s="14" t="n">
        <x:f>IF(B195="","Thiếu mã",IFERROR(VLOOKUP(B195,'GiaCuoc'!$A$2:$B$501,2,FALSE),"Cần kiểm tra mã"))</x:f>
        <x:v>30000</x:v>
      </x:c>
      <x:c r="D195" s="2" t="str">
        <x:v>Ngoại thành</x:v>
      </x:c>
      <x:c r="E195" s="10" t="d">
        <x:v>2026-10-27T17:00:00.000Z</x:v>
      </x:c>
      <x:c r="F195" s="10" t="d">
        <x:v>2026-10-27T16:00:00.000Z</x:v>
      </x:c>
      <x:c r="G195" s="2" t="str">
        <x:f>IF(F195&lt;=E195,"Đúng hẹn","Trễ hẹn")</x:f>
        <x:v>Đúng hẹn</x:v>
      </x:c>
    </x:row>
    <x:row r="196" ht="24" customHeight="1">
      <x:c r="A196" s="11" t="str">
        <x:v>FM000195</x:v>
      </x:c>
      <x:c r="B196" s="12" t="str">
        <x:f>TRIM(CLEAN(SUBSTITUTE(A196,CHAR(160)," ")))</x:f>
        <x:v>FM000195</x:v>
      </x:c>
      <x:c r="C196" s="14" t="n">
        <x:f>IF(B196="","Thiếu mã",IFERROR(VLOOKUP(B196,'GiaCuoc'!$A$2:$B$501,2,FALSE),"Cần kiểm tra mã"))</x:f>
        <x:v>30000</x:v>
      </x:c>
      <x:c r="D196" s="2" t="str">
        <x:v>Ngoại thành</x:v>
      </x:c>
      <x:c r="E196" s="10" t="d">
        <x:v>2026-10-27T17:00:00.000Z</x:v>
      </x:c>
      <x:c r="F196" s="10" t="d">
        <x:v>2026-10-27T16:00:00.000Z</x:v>
      </x:c>
      <x:c r="G196" s="2" t="str">
        <x:f>IF(F196&lt;=E196,"Đúng hẹn","Trễ hẹn")</x:f>
        <x:v>Đúng hẹn</x:v>
      </x:c>
    </x:row>
    <x:row r="197" ht="24" customHeight="1">
      <x:c r="A197" s="11" t="str">
        <x:v>FM000196</x:v>
      </x:c>
      <x:c r="B197" s="12" t="str">
        <x:f>TRIM(CLEAN(SUBSTITUTE(A197,CHAR(160)," ")))</x:f>
        <x:v>FM000196</x:v>
      </x:c>
      <x:c r="C197" s="14" t="n">
        <x:f>IF(B197="","Thiếu mã",IFERROR(VLOOKUP(B197,'GiaCuoc'!$A$2:$B$501,2,FALSE),"Cần kiểm tra mã"))</x:f>
        <x:v>30000</x:v>
      </x:c>
      <x:c r="D197" s="2" t="str">
        <x:v>Ngoại thành</x:v>
      </x:c>
      <x:c r="E197" s="10" t="d">
        <x:v>2026-10-27T17:00:00.000Z</x:v>
      </x:c>
      <x:c r="F197" s="10" t="d">
        <x:v>2026-10-27T16:00:00.000Z</x:v>
      </x:c>
      <x:c r="G197" s="2" t="str">
        <x:f>IF(F197&lt;=E197,"Đúng hẹn","Trễ hẹn")</x:f>
        <x:v>Đúng hẹn</x:v>
      </x:c>
    </x:row>
    <x:row r="198" ht="24" customHeight="1">
      <x:c r="A198" s="11" t="str">
        <x:v>FM000197</x:v>
      </x:c>
      <x:c r="B198" s="12" t="str">
        <x:f>TRIM(CLEAN(SUBSTITUTE(A198,CHAR(160)," ")))</x:f>
        <x:v>FM000197</x:v>
      </x:c>
      <x:c r="C198" s="14" t="n">
        <x:f>IF(B198="","Thiếu mã",IFERROR(VLOOKUP(B198,'GiaCuoc'!$A$2:$B$501,2,FALSE),"Cần kiểm tra mã"))</x:f>
        <x:v>30000</x:v>
      </x:c>
      <x:c r="D198" s="2" t="str">
        <x:v>Ngoại thành</x:v>
      </x:c>
      <x:c r="E198" s="10" t="d">
        <x:v>2026-10-27T17:00:00.000Z</x:v>
      </x:c>
      <x:c r="F198" s="10" t="d">
        <x:v>2026-10-27T16:00:00.000Z</x:v>
      </x:c>
      <x:c r="G198" s="2" t="str">
        <x:f>IF(F198&lt;=E198,"Đúng hẹn","Trễ hẹn")</x:f>
        <x:v>Đúng hẹn</x:v>
      </x:c>
    </x:row>
    <x:row r="199" ht="24" customHeight="1">
      <x:c r="A199" s="11" t="str">
        <x:v>FM000198</x:v>
      </x:c>
      <x:c r="B199" s="12" t="str">
        <x:f>TRIM(CLEAN(SUBSTITUTE(A199,CHAR(160)," ")))</x:f>
        <x:v>FM000198</x:v>
      </x:c>
      <x:c r="C199" s="14" t="n">
        <x:f>IF(B199="","Thiếu mã",IFERROR(VLOOKUP(B199,'GiaCuoc'!$A$2:$B$501,2,FALSE),"Cần kiểm tra mã"))</x:f>
        <x:v>30000</x:v>
      </x:c>
      <x:c r="D199" s="2" t="str">
        <x:v>Ngoại thành</x:v>
      </x:c>
      <x:c r="E199" s="10" t="d">
        <x:v>2026-10-27T17:00:00.000Z</x:v>
      </x:c>
      <x:c r="F199" s="10" t="d">
        <x:v>2026-10-27T16:00:00.000Z</x:v>
      </x:c>
      <x:c r="G199" s="2" t="str">
        <x:f>IF(F199&lt;=E199,"Đúng hẹn","Trễ hẹn")</x:f>
        <x:v>Đúng hẹn</x:v>
      </x:c>
    </x:row>
    <x:row r="200" ht="24" customHeight="1">
      <x:c r="A200" s="11" t="str">
        <x:v>FM000199</x:v>
      </x:c>
      <x:c r="B200" s="12" t="str">
        <x:f>TRIM(CLEAN(SUBSTITUTE(A200,CHAR(160)," ")))</x:f>
        <x:v>FM000199</x:v>
      </x:c>
      <x:c r="C200" s="14" t="n">
        <x:f>IF(B200="","Thiếu mã",IFERROR(VLOOKUP(B200,'GiaCuoc'!$A$2:$B$501,2,FALSE),"Cần kiểm tra mã"))</x:f>
        <x:v>30000</x:v>
      </x:c>
      <x:c r="D200" s="2" t="str">
        <x:v>Ngoại thành</x:v>
      </x:c>
      <x:c r="E200" s="10" t="d">
        <x:v>2026-10-27T17:00:00.000Z</x:v>
      </x:c>
      <x:c r="F200" s="10" t="d">
        <x:v>2026-10-27T16:00:00.000Z</x:v>
      </x:c>
      <x:c r="G200" s="2" t="str">
        <x:f>IF(F200&lt;=E200,"Đúng hẹn","Trễ hẹn")</x:f>
        <x:v>Đúng hẹn</x:v>
      </x:c>
    </x:row>
    <x:row r="201" ht="24" customHeight="1">
      <x:c r="A201" s="11" t="str">
        <x:v>FM000200</x:v>
      </x:c>
      <x:c r="B201" s="12" t="str">
        <x:f>TRIM(CLEAN(SUBSTITUTE(A201,CHAR(160)," ")))</x:f>
        <x:v>FM000200</x:v>
      </x:c>
      <x:c r="C201" s="14" t="n">
        <x:f>IF(B201="","Thiếu mã",IFERROR(VLOOKUP(B201,'GiaCuoc'!$A$2:$B$501,2,FALSE),"Cần kiểm tra mã"))</x:f>
        <x:v>30000</x:v>
      </x:c>
      <x:c r="D201" s="2" t="str">
        <x:v>Ngoại thành</x:v>
      </x:c>
      <x:c r="E201" s="10" t="d">
        <x:v>2026-10-27T17:00:00.000Z</x:v>
      </x:c>
      <x:c r="F201" s="10" t="d">
        <x:v>2026-10-27T16:00:00.000Z</x:v>
      </x:c>
      <x:c r="G201" s="2" t="str">
        <x:f>IF(F201&lt;=E201,"Đúng hẹn","Trễ hẹn")</x:f>
        <x:v>Đúng hẹn</x:v>
      </x:c>
    </x:row>
    <x:row r="202" ht="24" customHeight="1">
      <x:c r="A202" s="11" t="str">
        <x:v>FM000201</x:v>
      </x:c>
      <x:c r="B202" s="12" t="str">
        <x:f>TRIM(CLEAN(SUBSTITUTE(A202,CHAR(160)," ")))</x:f>
        <x:v>FM000201</x:v>
      </x:c>
      <x:c r="C202" s="14" t="n">
        <x:f>IF(B202="","Thiếu mã",IFERROR(VLOOKUP(B202,'GiaCuoc'!$A$2:$B$501,2,FALSE),"Cần kiểm tra mã"))</x:f>
        <x:v>30000</x:v>
      </x:c>
      <x:c r="D202" s="2" t="str">
        <x:v>Ngoại thành</x:v>
      </x:c>
      <x:c r="E202" s="10" t="d">
        <x:v>2026-10-27T17:00:00.000Z</x:v>
      </x:c>
      <x:c r="F202" s="10" t="d">
        <x:v>2026-10-27T16:00:00.000Z</x:v>
      </x:c>
      <x:c r="G202" s="2" t="str">
        <x:f>IF(F202&lt;=E202,"Đúng hẹn","Trễ hẹn")</x:f>
        <x:v>Đúng hẹn</x:v>
      </x:c>
    </x:row>
    <x:row r="203" ht="24" customHeight="1">
      <x:c r="A203" s="11" t="str">
        <x:v>FM000202</x:v>
      </x:c>
      <x:c r="B203" s="12" t="str">
        <x:f>TRIM(CLEAN(SUBSTITUTE(A203,CHAR(160)," ")))</x:f>
        <x:v>FM000202</x:v>
      </x:c>
      <x:c r="C203" s="14" t="n">
        <x:f>IF(B203="","Thiếu mã",IFERROR(VLOOKUP(B203,'GiaCuoc'!$A$2:$B$501,2,FALSE),"Cần kiểm tra mã"))</x:f>
        <x:v>30000</x:v>
      </x:c>
      <x:c r="D203" s="2" t="str">
        <x:v>Ngoại thành</x:v>
      </x:c>
      <x:c r="E203" s="10" t="d">
        <x:v>2026-10-27T17:00:00.000Z</x:v>
      </x:c>
      <x:c r="F203" s="10" t="d">
        <x:v>2026-10-27T16:00:00.000Z</x:v>
      </x:c>
      <x:c r="G203" s="2" t="str">
        <x:f>IF(F203&lt;=E203,"Đúng hẹn","Trễ hẹn")</x:f>
        <x:v>Đúng hẹn</x:v>
      </x:c>
    </x:row>
    <x:row r="204" ht="24" customHeight="1">
      <x:c r="A204" s="11" t="str">
        <x:v>FM000203</x:v>
      </x:c>
      <x:c r="B204" s="12" t="str">
        <x:f>TRIM(CLEAN(SUBSTITUTE(A204,CHAR(160)," ")))</x:f>
        <x:v>FM000203</x:v>
      </x:c>
      <x:c r="C204" s="14" t="n">
        <x:f>IF(B204="","Thiếu mã",IFERROR(VLOOKUP(B204,'GiaCuoc'!$A$2:$B$501,2,FALSE),"Cần kiểm tra mã"))</x:f>
        <x:v>30000</x:v>
      </x:c>
      <x:c r="D204" s="2" t="str">
        <x:v>Ngoại thành</x:v>
      </x:c>
      <x:c r="E204" s="10" t="d">
        <x:v>2026-10-27T17:00:00.000Z</x:v>
      </x:c>
      <x:c r="F204" s="10" t="d">
        <x:v>2026-10-27T16:00:00.000Z</x:v>
      </x:c>
      <x:c r="G204" s="2" t="str">
        <x:f>IF(F204&lt;=E204,"Đúng hẹn","Trễ hẹn")</x:f>
        <x:v>Đúng hẹn</x:v>
      </x:c>
    </x:row>
    <x:row r="205" ht="24" customHeight="1">
      <x:c r="A205" s="11" t="str">
        <x:v>FM000204</x:v>
      </x:c>
      <x:c r="B205" s="12" t="str">
        <x:f>TRIM(CLEAN(SUBSTITUTE(A205,CHAR(160)," ")))</x:f>
        <x:v>FM000204</x:v>
      </x:c>
      <x:c r="C205" s="14" t="n">
        <x:f>IF(B205="","Thiếu mã",IFERROR(VLOOKUP(B205,'GiaCuoc'!$A$2:$B$501,2,FALSE),"Cần kiểm tra mã"))</x:f>
        <x:v>30000</x:v>
      </x:c>
      <x:c r="D205" s="2" t="str">
        <x:v>Ngoại thành</x:v>
      </x:c>
      <x:c r="E205" s="10" t="d">
        <x:v>2026-10-27T17:00:00.000Z</x:v>
      </x:c>
      <x:c r="F205" s="10" t="d">
        <x:v>2026-10-27T16:00:00.000Z</x:v>
      </x:c>
      <x:c r="G205" s="2" t="str">
        <x:f>IF(F205&lt;=E205,"Đúng hẹn","Trễ hẹn")</x:f>
        <x:v>Đúng hẹn</x:v>
      </x:c>
    </x:row>
    <x:row r="206" ht="24" customHeight="1">
      <x:c r="A206" s="11" t="str">
        <x:v>FM000205</x:v>
      </x:c>
      <x:c r="B206" s="12" t="str">
        <x:f>TRIM(CLEAN(SUBSTITUTE(A206,CHAR(160)," ")))</x:f>
        <x:v>FM000205</x:v>
      </x:c>
      <x:c r="C206" s="14" t="n">
        <x:f>IF(B206="","Thiếu mã",IFERROR(VLOOKUP(B206,'GiaCuoc'!$A$2:$B$501,2,FALSE),"Cần kiểm tra mã"))</x:f>
        <x:v>30000</x:v>
      </x:c>
      <x:c r="D206" s="2" t="str">
        <x:v>Ngoại thành</x:v>
      </x:c>
      <x:c r="E206" s="10" t="d">
        <x:v>2026-10-27T17:00:00.000Z</x:v>
      </x:c>
      <x:c r="F206" s="10" t="d">
        <x:v>2026-10-27T16:00:00.000Z</x:v>
      </x:c>
      <x:c r="G206" s="2" t="str">
        <x:f>IF(F206&lt;=E206,"Đúng hẹn","Trễ hẹn")</x:f>
        <x:v>Đúng hẹn</x:v>
      </x:c>
    </x:row>
    <x:row r="207" ht="24" customHeight="1">
      <x:c r="A207" s="11" t="str">
        <x:v>FM000206</x:v>
      </x:c>
      <x:c r="B207" s="12" t="str">
        <x:f>TRIM(CLEAN(SUBSTITUTE(A207,CHAR(160)," ")))</x:f>
        <x:v>FM000206</x:v>
      </x:c>
      <x:c r="C207" s="14" t="n">
        <x:f>IF(B207="","Thiếu mã",IFERROR(VLOOKUP(B207,'GiaCuoc'!$A$2:$B$501,2,FALSE),"Cần kiểm tra mã"))</x:f>
        <x:v>30000</x:v>
      </x:c>
      <x:c r="D207" s="2" t="str">
        <x:v>Ngoại thành</x:v>
      </x:c>
      <x:c r="E207" s="10" t="d">
        <x:v>2026-10-27T17:00:00.000Z</x:v>
      </x:c>
      <x:c r="F207" s="10" t="d">
        <x:v>2026-10-27T16:00:00.000Z</x:v>
      </x:c>
      <x:c r="G207" s="2" t="str">
        <x:f>IF(F207&lt;=E207,"Đúng hẹn","Trễ hẹn")</x:f>
        <x:v>Đúng hẹn</x:v>
      </x:c>
    </x:row>
    <x:row r="208" ht="24" customHeight="1">
      <x:c r="A208" s="11" t="str">
        <x:v>FM000207</x:v>
      </x:c>
      <x:c r="B208" s="12" t="str">
        <x:f>TRIM(CLEAN(SUBSTITUTE(A208,CHAR(160)," ")))</x:f>
        <x:v>FM000207</x:v>
      </x:c>
      <x:c r="C208" s="14" t="n">
        <x:f>IF(B208="","Thiếu mã",IFERROR(VLOOKUP(B208,'GiaCuoc'!$A$2:$B$501,2,FALSE),"Cần kiểm tra mã"))</x:f>
        <x:v>30000</x:v>
      </x:c>
      <x:c r="D208" s="2" t="str">
        <x:v>Ngoại thành</x:v>
      </x:c>
      <x:c r="E208" s="10" t="d">
        <x:v>2026-10-27T17:00:00.000Z</x:v>
      </x:c>
      <x:c r="F208" s="10" t="d">
        <x:v>2026-10-27T16:00:00.000Z</x:v>
      </x:c>
      <x:c r="G208" s="2" t="str">
        <x:f>IF(F208&lt;=E208,"Đúng hẹn","Trễ hẹn")</x:f>
        <x:v>Đúng hẹn</x:v>
      </x:c>
    </x:row>
    <x:row r="209" ht="24" customHeight="1">
      <x:c r="A209" s="11" t="str">
        <x:v>FM000208</x:v>
      </x:c>
      <x:c r="B209" s="12" t="str">
        <x:f>TRIM(CLEAN(SUBSTITUTE(A209,CHAR(160)," ")))</x:f>
        <x:v>FM000208</x:v>
      </x:c>
      <x:c r="C209" s="14" t="n">
        <x:f>IF(B209="","Thiếu mã",IFERROR(VLOOKUP(B209,'GiaCuoc'!$A$2:$B$501,2,FALSE),"Cần kiểm tra mã"))</x:f>
        <x:v>30000</x:v>
      </x:c>
      <x:c r="D209" s="2" t="str">
        <x:v>Ngoại thành</x:v>
      </x:c>
      <x:c r="E209" s="10" t="d">
        <x:v>2026-10-27T17:00:00.000Z</x:v>
      </x:c>
      <x:c r="F209" s="10" t="d">
        <x:v>2026-10-27T16:00:00.000Z</x:v>
      </x:c>
      <x:c r="G209" s="2" t="str">
        <x:f>IF(F209&lt;=E209,"Đúng hẹn","Trễ hẹn")</x:f>
        <x:v>Đúng hẹn</x:v>
      </x:c>
    </x:row>
    <x:row r="210" ht="24" customHeight="1">
      <x:c r="A210" s="11" t="str">
        <x:v>FM000209</x:v>
      </x:c>
      <x:c r="B210" s="12" t="str">
        <x:f>TRIM(CLEAN(SUBSTITUTE(A210,CHAR(160)," ")))</x:f>
        <x:v>FM000209</x:v>
      </x:c>
      <x:c r="C210" s="14" t="n">
        <x:f>IF(B210="","Thiếu mã",IFERROR(VLOOKUP(B210,'GiaCuoc'!$A$2:$B$501,2,FALSE),"Cần kiểm tra mã"))</x:f>
        <x:v>30000</x:v>
      </x:c>
      <x:c r="D210" s="2" t="str">
        <x:v>Ngoại thành</x:v>
      </x:c>
      <x:c r="E210" s="10" t="d">
        <x:v>2026-10-27T17:00:00.000Z</x:v>
      </x:c>
      <x:c r="F210" s="10" t="d">
        <x:v>2026-10-27T16:00:00.000Z</x:v>
      </x:c>
      <x:c r="G210" s="2" t="str">
        <x:f>IF(F210&lt;=E210,"Đúng hẹn","Trễ hẹn")</x:f>
        <x:v>Đúng hẹn</x:v>
      </x:c>
    </x:row>
    <x:row r="211" ht="24" customHeight="1">
      <x:c r="A211" s="11" t="str">
        <x:v>FM000210</x:v>
      </x:c>
      <x:c r="B211" s="12" t="str">
        <x:f>TRIM(CLEAN(SUBSTITUTE(A211,CHAR(160)," ")))</x:f>
        <x:v>FM000210</x:v>
      </x:c>
      <x:c r="C211" s="14" t="n">
        <x:f>IF(B211="","Thiếu mã",IFERROR(VLOOKUP(B211,'GiaCuoc'!$A$2:$B$501,2,FALSE),"Cần kiểm tra mã"))</x:f>
        <x:v>30000</x:v>
      </x:c>
      <x:c r="D211" s="2" t="str">
        <x:v>Ngoại thành</x:v>
      </x:c>
      <x:c r="E211" s="10" t="d">
        <x:v>2026-10-27T17:00:00.000Z</x:v>
      </x:c>
      <x:c r="F211" s="10" t="d">
        <x:v>2026-10-27T16:00:00.000Z</x:v>
      </x:c>
      <x:c r="G211" s="2" t="str">
        <x:f>IF(F211&lt;=E211,"Đúng hẹn","Trễ hẹn")</x:f>
        <x:v>Đúng hẹn</x:v>
      </x:c>
    </x:row>
    <x:row r="212" ht="24" customHeight="1">
      <x:c r="A212" s="11" t="str">
        <x:v>FM000211</x:v>
      </x:c>
      <x:c r="B212" s="12" t="str">
        <x:f>TRIM(CLEAN(SUBSTITUTE(A212,CHAR(160)," ")))</x:f>
        <x:v>FM000211</x:v>
      </x:c>
      <x:c r="C212" s="14" t="n">
        <x:f>IF(B212="","Thiếu mã",IFERROR(VLOOKUP(B212,'GiaCuoc'!$A$2:$B$501,2,FALSE),"Cần kiểm tra mã"))</x:f>
        <x:v>30000</x:v>
      </x:c>
      <x:c r="D212" s="2" t="str">
        <x:v>Ngoại thành</x:v>
      </x:c>
      <x:c r="E212" s="10" t="d">
        <x:v>2026-10-27T17:00:00.000Z</x:v>
      </x:c>
      <x:c r="F212" s="10" t="d">
        <x:v>2026-10-27T16:00:00.000Z</x:v>
      </x:c>
      <x:c r="G212" s="2" t="str">
        <x:f>IF(F212&lt;=E212,"Đúng hẹn","Trễ hẹn")</x:f>
        <x:v>Đúng hẹn</x:v>
      </x:c>
    </x:row>
    <x:row r="213" ht="24" customHeight="1">
      <x:c r="A213" s="11" t="str">
        <x:v>FM000212</x:v>
      </x:c>
      <x:c r="B213" s="12" t="str">
        <x:f>TRIM(CLEAN(SUBSTITUTE(A213,CHAR(160)," ")))</x:f>
        <x:v>FM000212</x:v>
      </x:c>
      <x:c r="C213" s="14" t="n">
        <x:f>IF(B213="","Thiếu mã",IFERROR(VLOOKUP(B213,'GiaCuoc'!$A$2:$B$501,2,FALSE),"Cần kiểm tra mã"))</x:f>
        <x:v>30000</x:v>
      </x:c>
      <x:c r="D213" s="2" t="str">
        <x:v>Ngoại thành</x:v>
      </x:c>
      <x:c r="E213" s="10" t="d">
        <x:v>2026-10-27T17:00:00.000Z</x:v>
      </x:c>
      <x:c r="F213" s="10" t="d">
        <x:v>2026-10-27T16:00:00.000Z</x:v>
      </x:c>
      <x:c r="G213" s="2" t="str">
        <x:f>IF(F213&lt;=E213,"Đúng hẹn","Trễ hẹn")</x:f>
        <x:v>Đúng hẹn</x:v>
      </x:c>
    </x:row>
    <x:row r="214" ht="24" customHeight="1">
      <x:c r="A214" s="11" t="str">
        <x:v>FM000213</x:v>
      </x:c>
      <x:c r="B214" s="12" t="str">
        <x:f>TRIM(CLEAN(SUBSTITUTE(A214,CHAR(160)," ")))</x:f>
        <x:v>FM000213</x:v>
      </x:c>
      <x:c r="C214" s="14" t="n">
        <x:f>IF(B214="","Thiếu mã",IFERROR(VLOOKUP(B214,'GiaCuoc'!$A$2:$B$501,2,FALSE),"Cần kiểm tra mã"))</x:f>
        <x:v>30000</x:v>
      </x:c>
      <x:c r="D214" s="2" t="str">
        <x:v>Ngoại thành</x:v>
      </x:c>
      <x:c r="E214" s="10" t="d">
        <x:v>2026-10-27T17:00:00.000Z</x:v>
      </x:c>
      <x:c r="F214" s="10" t="d">
        <x:v>2026-10-27T16:00:00.000Z</x:v>
      </x:c>
      <x:c r="G214" s="2" t="str">
        <x:f>IF(F214&lt;=E214,"Đúng hẹn","Trễ hẹn")</x:f>
        <x:v>Đúng hẹn</x:v>
      </x:c>
    </x:row>
    <x:row r="215" ht="24" customHeight="1">
      <x:c r="A215" s="11" t="str">
        <x:v>FM000214</x:v>
      </x:c>
      <x:c r="B215" s="12" t="str">
        <x:f>TRIM(CLEAN(SUBSTITUTE(A215,CHAR(160)," ")))</x:f>
        <x:v>FM000214</x:v>
      </x:c>
      <x:c r="C215" s="14" t="n">
        <x:f>IF(B215="","Thiếu mã",IFERROR(VLOOKUP(B215,'GiaCuoc'!$A$2:$B$501,2,FALSE),"Cần kiểm tra mã"))</x:f>
        <x:v>30000</x:v>
      </x:c>
      <x:c r="D215" s="2" t="str">
        <x:v>Ngoại thành</x:v>
      </x:c>
      <x:c r="E215" s="10" t="d">
        <x:v>2026-10-27T17:00:00.000Z</x:v>
      </x:c>
      <x:c r="F215" s="10" t="d">
        <x:v>2026-10-27T16:00:00.000Z</x:v>
      </x:c>
      <x:c r="G215" s="2" t="str">
        <x:f>IF(F215&lt;=E215,"Đúng hẹn","Trễ hẹn")</x:f>
        <x:v>Đúng hẹn</x:v>
      </x:c>
    </x:row>
    <x:row r="216" ht="24" customHeight="1">
      <x:c r="A216" s="11" t="str">
        <x:v>FM000215</x:v>
      </x:c>
      <x:c r="B216" s="12" t="str">
        <x:f>TRIM(CLEAN(SUBSTITUTE(A216,CHAR(160)," ")))</x:f>
        <x:v>FM000215</x:v>
      </x:c>
      <x:c r="C216" s="14" t="n">
        <x:f>IF(B216="","Thiếu mã",IFERROR(VLOOKUP(B216,'GiaCuoc'!$A$2:$B$501,2,FALSE),"Cần kiểm tra mã"))</x:f>
        <x:v>30000</x:v>
      </x:c>
      <x:c r="D216" s="2" t="str">
        <x:v>Ngoại thành</x:v>
      </x:c>
      <x:c r="E216" s="10" t="d">
        <x:v>2026-10-27T17:00:00.000Z</x:v>
      </x:c>
      <x:c r="F216" s="10" t="d">
        <x:v>2026-10-27T16:00:00.000Z</x:v>
      </x:c>
      <x:c r="G216" s="2" t="str">
        <x:f>IF(F216&lt;=E216,"Đúng hẹn","Trễ hẹn")</x:f>
        <x:v>Đúng hẹn</x:v>
      </x:c>
    </x:row>
    <x:row r="217" ht="24" customHeight="1">
      <x:c r="A217" s="11" t="str">
        <x:v>FM000216</x:v>
      </x:c>
      <x:c r="B217" s="12" t="str">
        <x:f>TRIM(CLEAN(SUBSTITUTE(A217,CHAR(160)," ")))</x:f>
        <x:v>FM000216</x:v>
      </x:c>
      <x:c r="C217" s="14" t="n">
        <x:f>IF(B217="","Thiếu mã",IFERROR(VLOOKUP(B217,'GiaCuoc'!$A$2:$B$501,2,FALSE),"Cần kiểm tra mã"))</x:f>
        <x:v>30000</x:v>
      </x:c>
      <x:c r="D217" s="2" t="str">
        <x:v>Ngoại thành</x:v>
      </x:c>
      <x:c r="E217" s="10" t="d">
        <x:v>2026-10-27T17:00:00.000Z</x:v>
      </x:c>
      <x:c r="F217" s="10" t="d">
        <x:v>2026-10-27T16:00:00.000Z</x:v>
      </x:c>
      <x:c r="G217" s="2" t="str">
        <x:f>IF(F217&lt;=E217,"Đúng hẹn","Trễ hẹn")</x:f>
        <x:v>Đúng hẹn</x:v>
      </x:c>
    </x:row>
    <x:row r="218" ht="24" customHeight="1">
      <x:c r="A218" s="11" t="str">
        <x:v>FM000217</x:v>
      </x:c>
      <x:c r="B218" s="12" t="str">
        <x:f>TRIM(CLEAN(SUBSTITUTE(A218,CHAR(160)," ")))</x:f>
        <x:v>FM000217</x:v>
      </x:c>
      <x:c r="C218" s="14" t="n">
        <x:f>IF(B218="","Thiếu mã",IFERROR(VLOOKUP(B218,'GiaCuoc'!$A$2:$B$501,2,FALSE),"Cần kiểm tra mã"))</x:f>
        <x:v>30000</x:v>
      </x:c>
      <x:c r="D218" s="2" t="str">
        <x:v>Ngoại thành</x:v>
      </x:c>
      <x:c r="E218" s="10" t="d">
        <x:v>2026-10-27T17:00:00.000Z</x:v>
      </x:c>
      <x:c r="F218" s="10" t="d">
        <x:v>2026-10-27T16:00:00.000Z</x:v>
      </x:c>
      <x:c r="G218" s="2" t="str">
        <x:f>IF(F218&lt;=E218,"Đúng hẹn","Trễ hẹn")</x:f>
        <x:v>Đúng hẹn</x:v>
      </x:c>
    </x:row>
    <x:row r="219" ht="24" customHeight="1">
      <x:c r="A219" s="11" t="str">
        <x:v>FM000218</x:v>
      </x:c>
      <x:c r="B219" s="12" t="str">
        <x:f>TRIM(CLEAN(SUBSTITUTE(A219,CHAR(160)," ")))</x:f>
        <x:v>FM000218</x:v>
      </x:c>
      <x:c r="C219" s="14" t="n">
        <x:f>IF(B219="","Thiếu mã",IFERROR(VLOOKUP(B219,'GiaCuoc'!$A$2:$B$501,2,FALSE),"Cần kiểm tra mã"))</x:f>
        <x:v>30000</x:v>
      </x:c>
      <x:c r="D219" s="2" t="str">
        <x:v>Ngoại thành</x:v>
      </x:c>
      <x:c r="E219" s="10" t="d">
        <x:v>2026-10-27T17:00:00.000Z</x:v>
      </x:c>
      <x:c r="F219" s="10" t="d">
        <x:v>2026-10-27T16:00:00.000Z</x:v>
      </x:c>
      <x:c r="G219" s="2" t="str">
        <x:f>IF(F219&lt;=E219,"Đúng hẹn","Trễ hẹn")</x:f>
        <x:v>Đúng hẹn</x:v>
      </x:c>
    </x:row>
    <x:row r="220" ht="24" customHeight="1">
      <x:c r="A220" s="11" t="str">
        <x:v>FM000219</x:v>
      </x:c>
      <x:c r="B220" s="12" t="str">
        <x:f>TRIM(CLEAN(SUBSTITUTE(A220,CHAR(160)," ")))</x:f>
        <x:v>FM000219</x:v>
      </x:c>
      <x:c r="C220" s="14" t="n">
        <x:f>IF(B220="","Thiếu mã",IFERROR(VLOOKUP(B220,'GiaCuoc'!$A$2:$B$501,2,FALSE),"Cần kiểm tra mã"))</x:f>
        <x:v>30000</x:v>
      </x:c>
      <x:c r="D220" s="2" t="str">
        <x:v>Ngoại thành</x:v>
      </x:c>
      <x:c r="E220" s="10" t="d">
        <x:v>2026-10-27T17:00:00.000Z</x:v>
      </x:c>
      <x:c r="F220" s="10" t="d">
        <x:v>2026-10-27T16:00:00.000Z</x:v>
      </x:c>
      <x:c r="G220" s="2" t="str">
        <x:f>IF(F220&lt;=E220,"Đúng hẹn","Trễ hẹn")</x:f>
        <x:v>Đúng hẹn</x:v>
      </x:c>
    </x:row>
    <x:row r="221" ht="24" customHeight="1">
      <x:c r="A221" s="11" t="str">
        <x:v>FM000220</x:v>
      </x:c>
      <x:c r="B221" s="12" t="str">
        <x:f>TRIM(CLEAN(SUBSTITUTE(A221,CHAR(160)," ")))</x:f>
        <x:v>FM000220</x:v>
      </x:c>
      <x:c r="C221" s="14" t="n">
        <x:f>IF(B221="","Thiếu mã",IFERROR(VLOOKUP(B221,'GiaCuoc'!$A$2:$B$501,2,FALSE),"Cần kiểm tra mã"))</x:f>
        <x:v>30000</x:v>
      </x:c>
      <x:c r="D221" s="2" t="str">
        <x:v>Ngoại thành</x:v>
      </x:c>
      <x:c r="E221" s="10" t="d">
        <x:v>2026-10-27T17:00:00.000Z</x:v>
      </x:c>
      <x:c r="F221" s="10" t="d">
        <x:v>2026-10-27T16:00:00.000Z</x:v>
      </x:c>
      <x:c r="G221" s="2" t="str">
        <x:f>IF(F221&lt;=E221,"Đúng hẹn","Trễ hẹn")</x:f>
        <x:v>Đúng hẹn</x:v>
      </x:c>
    </x:row>
    <x:row r="222" ht="24" customHeight="1">
      <x:c r="A222" s="11" t="str">
        <x:v>FM000221</x:v>
      </x:c>
      <x:c r="B222" s="12" t="str">
        <x:f>TRIM(CLEAN(SUBSTITUTE(A222,CHAR(160)," ")))</x:f>
        <x:v>FM000221</x:v>
      </x:c>
      <x:c r="C222" s="14" t="n">
        <x:f>IF(B222="","Thiếu mã",IFERROR(VLOOKUP(B222,'GiaCuoc'!$A$2:$B$501,2,FALSE),"Cần kiểm tra mã"))</x:f>
        <x:v>30000</x:v>
      </x:c>
      <x:c r="D222" s="2" t="str">
        <x:v>Ngoại thành</x:v>
      </x:c>
      <x:c r="E222" s="10" t="d">
        <x:v>2026-10-27T17:00:00.000Z</x:v>
      </x:c>
      <x:c r="F222" s="10" t="d">
        <x:v>2026-10-27T16:00:00.000Z</x:v>
      </x:c>
      <x:c r="G222" s="2" t="str">
        <x:f>IF(F222&lt;=E222,"Đúng hẹn","Trễ hẹn")</x:f>
        <x:v>Đúng hẹn</x:v>
      </x:c>
    </x:row>
    <x:row r="223" ht="24" customHeight="1">
      <x:c r="A223" s="11" t="str">
        <x:v>FM000222</x:v>
      </x:c>
      <x:c r="B223" s="12" t="str">
        <x:f>TRIM(CLEAN(SUBSTITUTE(A223,CHAR(160)," ")))</x:f>
        <x:v>FM000222</x:v>
      </x:c>
      <x:c r="C223" s="14" t="n">
        <x:f>IF(B223="","Thiếu mã",IFERROR(VLOOKUP(B223,'GiaCuoc'!$A$2:$B$501,2,FALSE),"Cần kiểm tra mã"))</x:f>
        <x:v>30000</x:v>
      </x:c>
      <x:c r="D223" s="2" t="str">
        <x:v>Ngoại thành</x:v>
      </x:c>
      <x:c r="E223" s="10" t="d">
        <x:v>2026-10-27T17:00:00.000Z</x:v>
      </x:c>
      <x:c r="F223" s="10" t="d">
        <x:v>2026-10-27T16:00:00.000Z</x:v>
      </x:c>
      <x:c r="G223" s="2" t="str">
        <x:f>IF(F223&lt;=E223,"Đúng hẹn","Trễ hẹn")</x:f>
        <x:v>Đúng hẹn</x:v>
      </x:c>
    </x:row>
    <x:row r="224" ht="24" customHeight="1">
      <x:c r="A224" s="11" t="str">
        <x:v>FM000223</x:v>
      </x:c>
      <x:c r="B224" s="12" t="str">
        <x:f>TRIM(CLEAN(SUBSTITUTE(A224,CHAR(160)," ")))</x:f>
        <x:v>FM000223</x:v>
      </x:c>
      <x:c r="C224" s="14" t="n">
        <x:f>IF(B224="","Thiếu mã",IFERROR(VLOOKUP(B224,'GiaCuoc'!$A$2:$B$501,2,FALSE),"Cần kiểm tra mã"))</x:f>
        <x:v>30000</x:v>
      </x:c>
      <x:c r="D224" s="2" t="str">
        <x:v>Ngoại thành</x:v>
      </x:c>
      <x:c r="E224" s="10" t="d">
        <x:v>2026-10-27T17:00:00.000Z</x:v>
      </x:c>
      <x:c r="F224" s="10" t="d">
        <x:v>2026-10-27T16:00:00.000Z</x:v>
      </x:c>
      <x:c r="G224" s="2" t="str">
        <x:f>IF(F224&lt;=E224,"Đúng hẹn","Trễ hẹn")</x:f>
        <x:v>Đúng hẹn</x:v>
      </x:c>
    </x:row>
    <x:row r="225" ht="24" customHeight="1">
      <x:c r="A225" s="11" t="str">
        <x:v>FM000224</x:v>
      </x:c>
      <x:c r="B225" s="12" t="str">
        <x:f>TRIM(CLEAN(SUBSTITUTE(A225,CHAR(160)," ")))</x:f>
        <x:v>FM000224</x:v>
      </x:c>
      <x:c r="C225" s="14" t="n">
        <x:f>IF(B225="","Thiếu mã",IFERROR(VLOOKUP(B225,'GiaCuoc'!$A$2:$B$501,2,FALSE),"Cần kiểm tra mã"))</x:f>
        <x:v>30000</x:v>
      </x:c>
      <x:c r="D225" s="2" t="str">
        <x:v>Ngoại thành</x:v>
      </x:c>
      <x:c r="E225" s="10" t="d">
        <x:v>2026-10-27T17:00:00.000Z</x:v>
      </x:c>
      <x:c r="F225" s="10" t="d">
        <x:v>2026-10-27T16:00:00.000Z</x:v>
      </x:c>
      <x:c r="G225" s="2" t="str">
        <x:f>IF(F225&lt;=E225,"Đúng hẹn","Trễ hẹn")</x:f>
        <x:v>Đúng hẹn</x:v>
      </x:c>
    </x:row>
    <x:row r="226" ht="24" customHeight="1">
      <x:c r="A226" s="11" t="str">
        <x:v>FM000225</x:v>
      </x:c>
      <x:c r="B226" s="12" t="str">
        <x:f>TRIM(CLEAN(SUBSTITUTE(A226,CHAR(160)," ")))</x:f>
        <x:v>FM000225</x:v>
      </x:c>
      <x:c r="C226" s="14" t="n">
        <x:f>IF(B226="","Thiếu mã",IFERROR(VLOOKUP(B226,'GiaCuoc'!$A$2:$B$501,2,FALSE),"Cần kiểm tra mã"))</x:f>
        <x:v>30000</x:v>
      </x:c>
      <x:c r="D226" s="2" t="str">
        <x:v>Ngoại thành</x:v>
      </x:c>
      <x:c r="E226" s="10" t="d">
        <x:v>2026-10-27T17:00:00.000Z</x:v>
      </x:c>
      <x:c r="F226" s="10" t="d">
        <x:v>2026-10-27T16:00:00.000Z</x:v>
      </x:c>
      <x:c r="G226" s="2" t="str">
        <x:f>IF(F226&lt;=E226,"Đúng hẹn","Trễ hẹn")</x:f>
        <x:v>Đúng hẹn</x:v>
      </x:c>
    </x:row>
    <x:row r="227" ht="24" customHeight="1">
      <x:c r="A227" s="11" t="str">
        <x:v>FM000226</x:v>
      </x:c>
      <x:c r="B227" s="12" t="str">
        <x:f>TRIM(CLEAN(SUBSTITUTE(A227,CHAR(160)," ")))</x:f>
        <x:v>FM000226</x:v>
      </x:c>
      <x:c r="C227" s="14" t="n">
        <x:f>IF(B227="","Thiếu mã",IFERROR(VLOOKUP(B227,'GiaCuoc'!$A$2:$B$501,2,FALSE),"Cần kiểm tra mã"))</x:f>
        <x:v>30000</x:v>
      </x:c>
      <x:c r="D227" s="2" t="str">
        <x:v>Ngoại thành</x:v>
      </x:c>
      <x:c r="E227" s="10" t="d">
        <x:v>2026-10-27T17:00:00.000Z</x:v>
      </x:c>
      <x:c r="F227" s="10" t="d">
        <x:v>2026-10-27T16:00:00.000Z</x:v>
      </x:c>
      <x:c r="G227" s="2" t="str">
        <x:f>IF(F227&lt;=E227,"Đúng hẹn","Trễ hẹn")</x:f>
        <x:v>Đúng hẹn</x:v>
      </x:c>
    </x:row>
    <x:row r="228" ht="24" customHeight="1">
      <x:c r="A228" s="11" t="str">
        <x:v>FM000227</x:v>
      </x:c>
      <x:c r="B228" s="12" t="str">
        <x:f>TRIM(CLEAN(SUBSTITUTE(A228,CHAR(160)," ")))</x:f>
        <x:v>FM000227</x:v>
      </x:c>
      <x:c r="C228" s="14" t="n">
        <x:f>IF(B228="","Thiếu mã",IFERROR(VLOOKUP(B228,'GiaCuoc'!$A$2:$B$501,2,FALSE),"Cần kiểm tra mã"))</x:f>
        <x:v>30000</x:v>
      </x:c>
      <x:c r="D228" s="2" t="str">
        <x:v>Ngoại thành</x:v>
      </x:c>
      <x:c r="E228" s="10" t="d">
        <x:v>2026-10-27T17:00:00.000Z</x:v>
      </x:c>
      <x:c r="F228" s="10" t="d">
        <x:v>2026-10-27T16:00:00.000Z</x:v>
      </x:c>
      <x:c r="G228" s="2" t="str">
        <x:f>IF(F228&lt;=E228,"Đúng hẹn","Trễ hẹn")</x:f>
        <x:v>Đúng hẹn</x:v>
      </x:c>
    </x:row>
    <x:row r="229" ht="24" customHeight="1">
      <x:c r="A229" s="11" t="str">
        <x:v>FM000228</x:v>
      </x:c>
      <x:c r="B229" s="12" t="str">
        <x:f>TRIM(CLEAN(SUBSTITUTE(A229,CHAR(160)," ")))</x:f>
        <x:v>FM000228</x:v>
      </x:c>
      <x:c r="C229" s="14" t="n">
        <x:f>IF(B229="","Thiếu mã",IFERROR(VLOOKUP(B229,'GiaCuoc'!$A$2:$B$501,2,FALSE),"Cần kiểm tra mã"))</x:f>
        <x:v>30000</x:v>
      </x:c>
      <x:c r="D229" s="2" t="str">
        <x:v>Ngoại thành</x:v>
      </x:c>
      <x:c r="E229" s="10" t="d">
        <x:v>2026-10-27T17:00:00.000Z</x:v>
      </x:c>
      <x:c r="F229" s="10" t="d">
        <x:v>2026-10-27T16:00:00.000Z</x:v>
      </x:c>
      <x:c r="G229" s="2" t="str">
        <x:f>IF(F229&lt;=E229,"Đúng hẹn","Trễ hẹn")</x:f>
        <x:v>Đúng hẹn</x:v>
      </x:c>
    </x:row>
    <x:row r="230" ht="24" customHeight="1">
      <x:c r="A230" s="11" t="str">
        <x:v>FM000229</x:v>
      </x:c>
      <x:c r="B230" s="12" t="str">
        <x:f>TRIM(CLEAN(SUBSTITUTE(A230,CHAR(160)," ")))</x:f>
        <x:v>FM000229</x:v>
      </x:c>
      <x:c r="C230" s="14" t="n">
        <x:f>IF(B230="","Thiếu mã",IFERROR(VLOOKUP(B230,'GiaCuoc'!$A$2:$B$501,2,FALSE),"Cần kiểm tra mã"))</x:f>
        <x:v>30000</x:v>
      </x:c>
      <x:c r="D230" s="2" t="str">
        <x:v>Ngoại thành</x:v>
      </x:c>
      <x:c r="E230" s="10" t="d">
        <x:v>2026-10-27T17:00:00.000Z</x:v>
      </x:c>
      <x:c r="F230" s="10" t="d">
        <x:v>2026-10-27T16:00:00.000Z</x:v>
      </x:c>
      <x:c r="G230" s="2" t="str">
        <x:f>IF(F230&lt;=E230,"Đúng hẹn","Trễ hẹn")</x:f>
        <x:v>Đúng hẹn</x:v>
      </x:c>
    </x:row>
    <x:row r="231" ht="24" customHeight="1">
      <x:c r="A231" s="11" t="str">
        <x:v>FM000230</x:v>
      </x:c>
      <x:c r="B231" s="12" t="str">
        <x:f>TRIM(CLEAN(SUBSTITUTE(A231,CHAR(160)," ")))</x:f>
        <x:v>FM000230</x:v>
      </x:c>
      <x:c r="C231" s="14" t="n">
        <x:f>IF(B231="","Thiếu mã",IFERROR(VLOOKUP(B231,'GiaCuoc'!$A$2:$B$501,2,FALSE),"Cần kiểm tra mã"))</x:f>
        <x:v>30000</x:v>
      </x:c>
      <x:c r="D231" s="2" t="str">
        <x:v>Ngoại thành</x:v>
      </x:c>
      <x:c r="E231" s="10" t="d">
        <x:v>2026-10-27T17:00:00.000Z</x:v>
      </x:c>
      <x:c r="F231" s="10" t="d">
        <x:v>2026-10-27T16:00:00.000Z</x:v>
      </x:c>
      <x:c r="G231" s="2" t="str">
        <x:f>IF(F231&lt;=E231,"Đúng hẹn","Trễ hẹn")</x:f>
        <x:v>Đúng hẹn</x:v>
      </x:c>
    </x:row>
    <x:row r="232" ht="24" customHeight="1">
      <x:c r="A232" s="11" t="str">
        <x:v>FM000231</x:v>
      </x:c>
      <x:c r="B232" s="12" t="str">
        <x:f>TRIM(CLEAN(SUBSTITUTE(A232,CHAR(160)," ")))</x:f>
        <x:v>FM000231</x:v>
      </x:c>
      <x:c r="C232" s="14" t="n">
        <x:f>IF(B232="","Thiếu mã",IFERROR(VLOOKUP(B232,'GiaCuoc'!$A$2:$B$501,2,FALSE),"Cần kiểm tra mã"))</x:f>
        <x:v>30000</x:v>
      </x:c>
      <x:c r="D232" s="2" t="str">
        <x:v>Ngoại thành</x:v>
      </x:c>
      <x:c r="E232" s="10" t="d">
        <x:v>2026-10-27T17:00:00.000Z</x:v>
      </x:c>
      <x:c r="F232" s="10" t="d">
        <x:v>2026-10-27T16:00:00.000Z</x:v>
      </x:c>
      <x:c r="G232" s="2" t="str">
        <x:f>IF(F232&lt;=E232,"Đúng hẹn","Trễ hẹn")</x:f>
        <x:v>Đúng hẹn</x:v>
      </x:c>
    </x:row>
    <x:row r="233" ht="24" customHeight="1">
      <x:c r="A233" s="11" t="str">
        <x:v>FM000232</x:v>
      </x:c>
      <x:c r="B233" s="12" t="str">
        <x:f>TRIM(CLEAN(SUBSTITUTE(A233,CHAR(160)," ")))</x:f>
        <x:v>FM000232</x:v>
      </x:c>
      <x:c r="C233" s="14" t="n">
        <x:f>IF(B233="","Thiếu mã",IFERROR(VLOOKUP(B233,'GiaCuoc'!$A$2:$B$501,2,FALSE),"Cần kiểm tra mã"))</x:f>
        <x:v>30000</x:v>
      </x:c>
      <x:c r="D233" s="2" t="str">
        <x:v>Ngoại thành</x:v>
      </x:c>
      <x:c r="E233" s="10" t="d">
        <x:v>2026-10-27T17:00:00.000Z</x:v>
      </x:c>
      <x:c r="F233" s="10" t="d">
        <x:v>2026-10-27T16:00:00.000Z</x:v>
      </x:c>
      <x:c r="G233" s="2" t="str">
        <x:f>IF(F233&lt;=E233,"Đúng hẹn","Trễ hẹn")</x:f>
        <x:v>Đúng hẹn</x:v>
      </x:c>
    </x:row>
    <x:row r="234" ht="24" customHeight="1">
      <x:c r="A234" s="11" t="str">
        <x:v>FM000233</x:v>
      </x:c>
      <x:c r="B234" s="12" t="str">
        <x:f>TRIM(CLEAN(SUBSTITUTE(A234,CHAR(160)," ")))</x:f>
        <x:v>FM000233</x:v>
      </x:c>
      <x:c r="C234" s="14" t="n">
        <x:f>IF(B234="","Thiếu mã",IFERROR(VLOOKUP(B234,'GiaCuoc'!$A$2:$B$501,2,FALSE),"Cần kiểm tra mã"))</x:f>
        <x:v>30000</x:v>
      </x:c>
      <x:c r="D234" s="2" t="str">
        <x:v>Ngoại thành</x:v>
      </x:c>
      <x:c r="E234" s="10" t="d">
        <x:v>2026-10-27T17:00:00.000Z</x:v>
      </x:c>
      <x:c r="F234" s="10" t="d">
        <x:v>2026-10-27T16:00:00.000Z</x:v>
      </x:c>
      <x:c r="G234" s="2" t="str">
        <x:f>IF(F234&lt;=E234,"Đúng hẹn","Trễ hẹn")</x:f>
        <x:v>Đúng hẹn</x:v>
      </x:c>
    </x:row>
    <x:row r="235" ht="24" customHeight="1">
      <x:c r="A235" s="11" t="str">
        <x:v>FM000234</x:v>
      </x:c>
      <x:c r="B235" s="12" t="str">
        <x:f>TRIM(CLEAN(SUBSTITUTE(A235,CHAR(160)," ")))</x:f>
        <x:v>FM000234</x:v>
      </x:c>
      <x:c r="C235" s="14" t="n">
        <x:f>IF(B235="","Thiếu mã",IFERROR(VLOOKUP(B235,'GiaCuoc'!$A$2:$B$501,2,FALSE),"Cần kiểm tra mã"))</x:f>
        <x:v>30000</x:v>
      </x:c>
      <x:c r="D235" s="2" t="str">
        <x:v>Ngoại thành</x:v>
      </x:c>
      <x:c r="E235" s="10" t="d">
        <x:v>2026-10-27T17:00:00.000Z</x:v>
      </x:c>
      <x:c r="F235" s="10" t="d">
        <x:v>2026-10-27T16:00:00.000Z</x:v>
      </x:c>
      <x:c r="G235" s="2" t="str">
        <x:f>IF(F235&lt;=E235,"Đúng hẹn","Trễ hẹn")</x:f>
        <x:v>Đúng hẹn</x:v>
      </x:c>
    </x:row>
    <x:row r="236" ht="24" customHeight="1">
      <x:c r="A236" s="11" t="str">
        <x:v>FM000235</x:v>
      </x:c>
      <x:c r="B236" s="12" t="str">
        <x:f>TRIM(CLEAN(SUBSTITUTE(A236,CHAR(160)," ")))</x:f>
        <x:v>FM000235</x:v>
      </x:c>
      <x:c r="C236" s="14" t="n">
        <x:f>IF(B236="","Thiếu mã",IFERROR(VLOOKUP(B236,'GiaCuoc'!$A$2:$B$501,2,FALSE),"Cần kiểm tra mã"))</x:f>
        <x:v>30000</x:v>
      </x:c>
      <x:c r="D236" s="2" t="str">
        <x:v>Ngoại thành</x:v>
      </x:c>
      <x:c r="E236" s="10" t="d">
        <x:v>2026-10-27T17:00:00.000Z</x:v>
      </x:c>
      <x:c r="F236" s="10" t="d">
        <x:v>2026-10-27T16:00:00.000Z</x:v>
      </x:c>
      <x:c r="G236" s="2" t="str">
        <x:f>IF(F236&lt;=E236,"Đúng hẹn","Trễ hẹn")</x:f>
        <x:v>Đúng hẹn</x:v>
      </x:c>
    </x:row>
    <x:row r="237" ht="24" customHeight="1">
      <x:c r="A237" s="11" t="str">
        <x:v>FM000236</x:v>
      </x:c>
      <x:c r="B237" s="12" t="str">
        <x:f>TRIM(CLEAN(SUBSTITUTE(A237,CHAR(160)," ")))</x:f>
        <x:v>FM000236</x:v>
      </x:c>
      <x:c r="C237" s="14" t="n">
        <x:f>IF(B237="","Thiếu mã",IFERROR(VLOOKUP(B237,'GiaCuoc'!$A$2:$B$501,2,FALSE),"Cần kiểm tra mã"))</x:f>
        <x:v>30000</x:v>
      </x:c>
      <x:c r="D237" s="2" t="str">
        <x:v>Ngoại thành</x:v>
      </x:c>
      <x:c r="E237" s="10" t="d">
        <x:v>2026-10-27T17:00:00.000Z</x:v>
      </x:c>
      <x:c r="F237" s="10" t="d">
        <x:v>2026-10-27T16:00:00.000Z</x:v>
      </x:c>
      <x:c r="G237" s="2" t="str">
        <x:f>IF(F237&lt;=E237,"Đúng hẹn","Trễ hẹn")</x:f>
        <x:v>Đúng hẹn</x:v>
      </x:c>
    </x:row>
    <x:row r="238" ht="24" customHeight="1">
      <x:c r="A238" s="11" t="str">
        <x:v>FM000237</x:v>
      </x:c>
      <x:c r="B238" s="12" t="str">
        <x:f>TRIM(CLEAN(SUBSTITUTE(A238,CHAR(160)," ")))</x:f>
        <x:v>FM000237</x:v>
      </x:c>
      <x:c r="C238" s="14" t="n">
        <x:f>IF(B238="","Thiếu mã",IFERROR(VLOOKUP(B238,'GiaCuoc'!$A$2:$B$501,2,FALSE),"Cần kiểm tra mã"))</x:f>
        <x:v>30000</x:v>
      </x:c>
      <x:c r="D238" s="2" t="str">
        <x:v>Ngoại thành</x:v>
      </x:c>
      <x:c r="E238" s="10" t="d">
        <x:v>2026-10-27T17:00:00.000Z</x:v>
      </x:c>
      <x:c r="F238" s="10" t="d">
        <x:v>2026-10-27T16:00:00.000Z</x:v>
      </x:c>
      <x:c r="G238" s="2" t="str">
        <x:f>IF(F238&lt;=E238,"Đúng hẹn","Trễ hẹn")</x:f>
        <x:v>Đúng hẹn</x:v>
      </x:c>
    </x:row>
    <x:row r="239" ht="24" customHeight="1">
      <x:c r="A239" s="11" t="str">
        <x:v>FM000238</x:v>
      </x:c>
      <x:c r="B239" s="12" t="str">
        <x:f>TRIM(CLEAN(SUBSTITUTE(A239,CHAR(160)," ")))</x:f>
        <x:v>FM000238</x:v>
      </x:c>
      <x:c r="C239" s="14" t="n">
        <x:f>IF(B239="","Thiếu mã",IFERROR(VLOOKUP(B239,'GiaCuoc'!$A$2:$B$501,2,FALSE),"Cần kiểm tra mã"))</x:f>
        <x:v>30000</x:v>
      </x:c>
      <x:c r="D239" s="2" t="str">
        <x:v>Ngoại thành</x:v>
      </x:c>
      <x:c r="E239" s="10" t="d">
        <x:v>2026-10-27T17:00:00.000Z</x:v>
      </x:c>
      <x:c r="F239" s="10" t="d">
        <x:v>2026-10-27T16:00:00.000Z</x:v>
      </x:c>
      <x:c r="G239" s="2" t="str">
        <x:f>IF(F239&lt;=E239,"Đúng hẹn","Trễ hẹn")</x:f>
        <x:v>Đúng hẹn</x:v>
      </x:c>
    </x:row>
    <x:row r="240" ht="24" customHeight="1">
      <x:c r="A240" s="11" t="str">
        <x:v>FM000239</x:v>
      </x:c>
      <x:c r="B240" s="12" t="str">
        <x:f>TRIM(CLEAN(SUBSTITUTE(A240,CHAR(160)," ")))</x:f>
        <x:v>FM000239</x:v>
      </x:c>
      <x:c r="C240" s="14" t="n">
        <x:f>IF(B240="","Thiếu mã",IFERROR(VLOOKUP(B240,'GiaCuoc'!$A$2:$B$501,2,FALSE),"Cần kiểm tra mã"))</x:f>
        <x:v>30000</x:v>
      </x:c>
      <x:c r="D240" s="2" t="str">
        <x:v>Ngoại thành</x:v>
      </x:c>
      <x:c r="E240" s="10" t="d">
        <x:v>2026-10-27T17:00:00.000Z</x:v>
      </x:c>
      <x:c r="F240" s="10" t="d">
        <x:v>2026-10-27T16:00:00.000Z</x:v>
      </x:c>
      <x:c r="G240" s="2" t="str">
        <x:f>IF(F240&lt;=E240,"Đúng hẹn","Trễ hẹn")</x:f>
        <x:v>Đúng hẹn</x:v>
      </x:c>
    </x:row>
    <x:row r="241" ht="24" customHeight="1">
      <x:c r="A241" s="11" t="str">
        <x:v>FM000240</x:v>
      </x:c>
      <x:c r="B241" s="12" t="str">
        <x:f>TRIM(CLEAN(SUBSTITUTE(A241,CHAR(160)," ")))</x:f>
        <x:v>FM000240</x:v>
      </x:c>
      <x:c r="C241" s="14" t="n">
        <x:f>IF(B241="","Thiếu mã",IFERROR(VLOOKUP(B241,'GiaCuoc'!$A$2:$B$501,2,FALSE),"Cần kiểm tra mã"))</x:f>
        <x:v>30000</x:v>
      </x:c>
      <x:c r="D241" s="2" t="str">
        <x:v>Ngoại thành</x:v>
      </x:c>
      <x:c r="E241" s="10" t="d">
        <x:v>2026-10-27T17:00:00.000Z</x:v>
      </x:c>
      <x:c r="F241" s="10" t="d">
        <x:v>2026-10-27T16:00:00.000Z</x:v>
      </x:c>
      <x:c r="G241" s="2" t="str">
        <x:f>IF(F241&lt;=E241,"Đúng hẹn","Trễ hẹn")</x:f>
        <x:v>Đúng hẹn</x:v>
      </x:c>
    </x:row>
    <x:row r="242" ht="24" customHeight="1">
      <x:c r="A242" s="11" t="str">
        <x:v>FM000241</x:v>
      </x:c>
      <x:c r="B242" s="12" t="str">
        <x:f>TRIM(CLEAN(SUBSTITUTE(A242,CHAR(160)," ")))</x:f>
        <x:v>FM000241</x:v>
      </x:c>
      <x:c r="C242" s="14" t="n">
        <x:f>IF(B242="","Thiếu mã",IFERROR(VLOOKUP(B242,'GiaCuoc'!$A$2:$B$501,2,FALSE),"Cần kiểm tra mã"))</x:f>
        <x:v>30000</x:v>
      </x:c>
      <x:c r="D242" s="2" t="str">
        <x:v>Ngoại thành</x:v>
      </x:c>
      <x:c r="E242" s="10" t="d">
        <x:v>2026-10-27T17:00:00.000Z</x:v>
      </x:c>
      <x:c r="F242" s="10" t="d">
        <x:v>2026-10-27T19:00:00.000Z</x:v>
      </x:c>
      <x:c r="G242" s="2" t="str">
        <x:f>IF(F242&lt;=E242,"Đúng hẹn","Trễ hẹn")</x:f>
        <x:v>Trễ hẹn</x:v>
      </x:c>
    </x:row>
    <x:row r="243" ht="24" customHeight="1">
      <x:c r="A243" s="11" t="str">
        <x:v>FM000242</x:v>
      </x:c>
      <x:c r="B243" s="12" t="str">
        <x:f>TRIM(CLEAN(SUBSTITUTE(A243,CHAR(160)," ")))</x:f>
        <x:v>FM000242</x:v>
      </x:c>
      <x:c r="C243" s="14" t="n">
        <x:f>IF(B243="","Thiếu mã",IFERROR(VLOOKUP(B243,'GiaCuoc'!$A$2:$B$501,2,FALSE),"Cần kiểm tra mã"))</x:f>
        <x:v>30000</x:v>
      </x:c>
      <x:c r="D243" s="2" t="str">
        <x:v>Ngoại thành</x:v>
      </x:c>
      <x:c r="E243" s="10" t="d">
        <x:v>2026-10-27T17:00:00.000Z</x:v>
      </x:c>
      <x:c r="F243" s="10" t="d">
        <x:v>2026-10-27T19:00:00.000Z</x:v>
      </x:c>
      <x:c r="G243" s="2" t="str">
        <x:f>IF(F243&lt;=E243,"Đúng hẹn","Trễ hẹn")</x:f>
        <x:v>Trễ hẹn</x:v>
      </x:c>
    </x:row>
    <x:row r="244" ht="24" customHeight="1">
      <x:c r="A244" s="11" t="str">
        <x:v>FM000243</x:v>
      </x:c>
      <x:c r="B244" s="12" t="str">
        <x:f>TRIM(CLEAN(SUBSTITUTE(A244,CHAR(160)," ")))</x:f>
        <x:v>FM000243</x:v>
      </x:c>
      <x:c r="C244" s="14" t="n">
        <x:f>IF(B244="","Thiếu mã",IFERROR(VLOOKUP(B244,'GiaCuoc'!$A$2:$B$501,2,FALSE),"Cần kiểm tra mã"))</x:f>
        <x:v>30000</x:v>
      </x:c>
      <x:c r="D244" s="2" t="str">
        <x:v>Ngoại thành</x:v>
      </x:c>
      <x:c r="E244" s="10" t="d">
        <x:v>2026-10-27T17:00:00.000Z</x:v>
      </x:c>
      <x:c r="F244" s="10" t="d">
        <x:v>2026-10-27T19:00:00.000Z</x:v>
      </x:c>
      <x:c r="G244" s="2" t="str">
        <x:f>IF(F244&lt;=E244,"Đúng hẹn","Trễ hẹn")</x:f>
        <x:v>Trễ hẹn</x:v>
      </x:c>
    </x:row>
    <x:row r="245" ht="24" customHeight="1">
      <x:c r="A245" s="11" t="str">
        <x:v>FM000244</x:v>
      </x:c>
      <x:c r="B245" s="12" t="str">
        <x:f>TRIM(CLEAN(SUBSTITUTE(A245,CHAR(160)," ")))</x:f>
        <x:v>FM000244</x:v>
      </x:c>
      <x:c r="C245" s="14" t="n">
        <x:f>IF(B245="","Thiếu mã",IFERROR(VLOOKUP(B245,'GiaCuoc'!$A$2:$B$501,2,FALSE),"Cần kiểm tra mã"))</x:f>
        <x:v>30000</x:v>
      </x:c>
      <x:c r="D245" s="2" t="str">
        <x:v>Ngoại thành</x:v>
      </x:c>
      <x:c r="E245" s="10" t="d">
        <x:v>2026-10-27T17:00:00.000Z</x:v>
      </x:c>
      <x:c r="F245" s="10" t="d">
        <x:v>2026-10-27T19:00:00.000Z</x:v>
      </x:c>
      <x:c r="G245" s="2" t="str">
        <x:f>IF(F245&lt;=E245,"Đúng hẹn","Trễ hẹn")</x:f>
        <x:v>Trễ hẹn</x:v>
      </x:c>
    </x:row>
    <x:row r="246" ht="24" customHeight="1">
      <x:c r="A246" s="11" t="str">
        <x:v>FM000245</x:v>
      </x:c>
      <x:c r="B246" s="12" t="str">
        <x:f>TRIM(CLEAN(SUBSTITUTE(A246,CHAR(160)," ")))</x:f>
        <x:v>FM000245</x:v>
      </x:c>
      <x:c r="C246" s="14" t="n">
        <x:f>IF(B246="","Thiếu mã",IFERROR(VLOOKUP(B246,'GiaCuoc'!$A$2:$B$501,2,FALSE),"Cần kiểm tra mã"))</x:f>
        <x:v>30000</x:v>
      </x:c>
      <x:c r="D246" s="2" t="str">
        <x:v>Ngoại thành</x:v>
      </x:c>
      <x:c r="E246" s="10" t="d">
        <x:v>2026-10-27T17:00:00.000Z</x:v>
      </x:c>
      <x:c r="F246" s="10" t="d">
        <x:v>2026-10-27T19:00:00.000Z</x:v>
      </x:c>
      <x:c r="G246" s="2" t="str">
        <x:f>IF(F246&lt;=E246,"Đúng hẹn","Trễ hẹn")</x:f>
        <x:v>Trễ hẹn</x:v>
      </x:c>
    </x:row>
    <x:row r="247" ht="24" customHeight="1">
      <x:c r="A247" s="11" t="str">
        <x:v>FM000246</x:v>
      </x:c>
      <x:c r="B247" s="12" t="str">
        <x:f>TRIM(CLEAN(SUBSTITUTE(A247,CHAR(160)," ")))</x:f>
        <x:v>FM000246</x:v>
      </x:c>
      <x:c r="C247" s="14" t="n">
        <x:f>IF(B247="","Thiếu mã",IFERROR(VLOOKUP(B247,'GiaCuoc'!$A$2:$B$501,2,FALSE),"Cần kiểm tra mã"))</x:f>
        <x:v>30000</x:v>
      </x:c>
      <x:c r="D247" s="2" t="str">
        <x:v>Ngoại thành</x:v>
      </x:c>
      <x:c r="E247" s="10" t="d">
        <x:v>2026-10-27T17:00:00.000Z</x:v>
      </x:c>
      <x:c r="F247" s="10" t="d">
        <x:v>2026-10-27T19:00:00.000Z</x:v>
      </x:c>
      <x:c r="G247" s="2" t="str">
        <x:f>IF(F247&lt;=E247,"Đúng hẹn","Trễ hẹn")</x:f>
        <x:v>Trễ hẹn</x:v>
      </x:c>
    </x:row>
    <x:row r="248" ht="24" customHeight="1">
      <x:c r="A248" s="11" t="str">
        <x:v>FM000247</x:v>
      </x:c>
      <x:c r="B248" s="12" t="str">
        <x:f>TRIM(CLEAN(SUBSTITUTE(A248,CHAR(160)," ")))</x:f>
        <x:v>FM000247</x:v>
      </x:c>
      <x:c r="C248" s="14" t="n">
        <x:f>IF(B248="","Thiếu mã",IFERROR(VLOOKUP(B248,'GiaCuoc'!$A$2:$B$501,2,FALSE),"Cần kiểm tra mã"))</x:f>
        <x:v>30000</x:v>
      </x:c>
      <x:c r="D248" s="2" t="str">
        <x:v>Ngoại thành</x:v>
      </x:c>
      <x:c r="E248" s="10" t="d">
        <x:v>2026-10-27T17:00:00.000Z</x:v>
      </x:c>
      <x:c r="F248" s="10" t="d">
        <x:v>2026-10-27T19:00:00.000Z</x:v>
      </x:c>
      <x:c r="G248" s="2" t="str">
        <x:f>IF(F248&lt;=E248,"Đúng hẹn","Trễ hẹn")</x:f>
        <x:v>Trễ hẹn</x:v>
      </x:c>
    </x:row>
    <x:row r="249" ht="24" customHeight="1">
      <x:c r="A249" s="11" t="str">
        <x:v>FM000248</x:v>
      </x:c>
      <x:c r="B249" s="12" t="str">
        <x:f>TRIM(CLEAN(SUBSTITUTE(A249,CHAR(160)," ")))</x:f>
        <x:v>FM000248</x:v>
      </x:c>
      <x:c r="C249" s="14" t="n">
        <x:f>IF(B249="","Thiếu mã",IFERROR(VLOOKUP(B249,'GiaCuoc'!$A$2:$B$501,2,FALSE),"Cần kiểm tra mã"))</x:f>
        <x:v>30000</x:v>
      </x:c>
      <x:c r="D249" s="2" t="str">
        <x:v>Ngoại thành</x:v>
      </x:c>
      <x:c r="E249" s="10" t="d">
        <x:v>2026-10-27T17:00:00.000Z</x:v>
      </x:c>
      <x:c r="F249" s="10" t="d">
        <x:v>2026-10-27T19:00:00.000Z</x:v>
      </x:c>
      <x:c r="G249" s="2" t="str">
        <x:f>IF(F249&lt;=E249,"Đúng hẹn","Trễ hẹn")</x:f>
        <x:v>Trễ hẹn</x:v>
      </x:c>
    </x:row>
    <x:row r="250" ht="24" customHeight="1">
      <x:c r="A250" s="11" t="str">
        <x:v>FM000249</x:v>
      </x:c>
      <x:c r="B250" s="12" t="str">
        <x:f>TRIM(CLEAN(SUBSTITUTE(A250,CHAR(160)," ")))</x:f>
        <x:v>FM000249</x:v>
      </x:c>
      <x:c r="C250" s="14" t="n">
        <x:f>IF(B250="","Thiếu mã",IFERROR(VLOOKUP(B250,'GiaCuoc'!$A$2:$B$501,2,FALSE),"Cần kiểm tra mã"))</x:f>
        <x:v>30000</x:v>
      </x:c>
      <x:c r="D250" s="2" t="str">
        <x:v>Ngoại thành</x:v>
      </x:c>
      <x:c r="E250" s="10" t="d">
        <x:v>2026-10-27T17:00:00.000Z</x:v>
      </x:c>
      <x:c r="F250" s="10" t="d">
        <x:v>2026-10-27T19:00:00.000Z</x:v>
      </x:c>
      <x:c r="G250" s="2" t="str">
        <x:f>IF(F250&lt;=E250,"Đúng hẹn","Trễ hẹn")</x:f>
        <x:v>Trễ hẹn</x:v>
      </x:c>
    </x:row>
    <x:row r="251" ht="24" customHeight="1">
      <x:c r="A251" s="11" t="str">
        <x:v>FM000250</x:v>
      </x:c>
      <x:c r="B251" s="12" t="str">
        <x:f>TRIM(CLEAN(SUBSTITUTE(A251,CHAR(160)," ")))</x:f>
        <x:v>FM000250</x:v>
      </x:c>
      <x:c r="C251" s="14" t="n">
        <x:f>IF(B251="","Thiếu mã",IFERROR(VLOOKUP(B251,'GiaCuoc'!$A$2:$B$501,2,FALSE),"Cần kiểm tra mã"))</x:f>
        <x:v>30000</x:v>
      </x:c>
      <x:c r="D251" s="2" t="str">
        <x:v>Ngoại thành</x:v>
      </x:c>
      <x:c r="E251" s="10" t="d">
        <x:v>2026-10-27T17:00:00.000Z</x:v>
      </x:c>
      <x:c r="F251" s="10" t="d">
        <x:v>2026-10-27T19:00:00.000Z</x:v>
      </x:c>
      <x:c r="G251" s="2" t="str">
        <x:f>IF(F251&lt;=E251,"Đúng hẹn","Trễ hẹn")</x:f>
        <x:v>Trễ hẹn</x:v>
      </x:c>
    </x:row>
    <x:row r="252" ht="24" customHeight="1">
      <x:c r="A252" s="11" t="str">
        <x:v>FM000251</x:v>
      </x:c>
      <x:c r="B252" s="12" t="str">
        <x:f>TRIM(CLEAN(SUBSTITUTE(A252,CHAR(160)," ")))</x:f>
        <x:v>FM000251</x:v>
      </x:c>
      <x:c r="C252" s="14" t="n">
        <x:f>IF(B252="","Thiếu mã",IFERROR(VLOOKUP(B252,'GiaCuoc'!$A$2:$B$501,2,FALSE),"Cần kiểm tra mã"))</x:f>
        <x:v>45000</x:v>
      </x:c>
      <x:c r="D252" s="2" t="str">
        <x:v>Liên tỉnh</x:v>
      </x:c>
      <x:c r="E252" s="10" t="d">
        <x:v>2026-10-27T17:00:00.000Z</x:v>
      </x:c>
      <x:c r="F252" s="10" t="d">
        <x:v>2026-10-27T16:00:00.000Z</x:v>
      </x:c>
      <x:c r="G252" s="2" t="str">
        <x:f>IF(F252&lt;=E252,"Đúng hẹn","Trễ hẹn")</x:f>
        <x:v>Đúng hẹn</x:v>
      </x:c>
    </x:row>
    <x:row r="253" ht="24" customHeight="1">
      <x:c r="A253" s="11" t="str">
        <x:v>FM000252</x:v>
      </x:c>
      <x:c r="B253" s="12" t="str">
        <x:f>TRIM(CLEAN(SUBSTITUTE(A253,CHAR(160)," ")))</x:f>
        <x:v>FM000252</x:v>
      </x:c>
      <x:c r="C253" s="14" t="n">
        <x:f>IF(B253="","Thiếu mã",IFERROR(VLOOKUP(B253,'GiaCuoc'!$A$2:$B$501,2,FALSE),"Cần kiểm tra mã"))</x:f>
        <x:v>45000</x:v>
      </x:c>
      <x:c r="D253" s="2" t="str">
        <x:v>Liên tỉnh</x:v>
      </x:c>
      <x:c r="E253" s="10" t="d">
        <x:v>2026-10-27T17:00:00.000Z</x:v>
      </x:c>
      <x:c r="F253" s="10" t="d">
        <x:v>2026-10-27T16:00:00.000Z</x:v>
      </x:c>
      <x:c r="G253" s="2" t="str">
        <x:f>IF(F253&lt;=E253,"Đúng hẹn","Trễ hẹn")</x:f>
        <x:v>Đúng hẹn</x:v>
      </x:c>
    </x:row>
    <x:row r="254" ht="24" customHeight="1">
      <x:c r="A254" s="11" t="str">
        <x:v>FM000253</x:v>
      </x:c>
      <x:c r="B254" s="12" t="str">
        <x:f>TRIM(CLEAN(SUBSTITUTE(A254,CHAR(160)," ")))</x:f>
        <x:v>FM000253</x:v>
      </x:c>
      <x:c r="C254" s="14" t="n">
        <x:f>IF(B254="","Thiếu mã",IFERROR(VLOOKUP(B254,'GiaCuoc'!$A$2:$B$501,2,FALSE),"Cần kiểm tra mã"))</x:f>
        <x:v>45000</x:v>
      </x:c>
      <x:c r="D254" s="2" t="str">
        <x:v>Liên tỉnh</x:v>
      </x:c>
      <x:c r="E254" s="10" t="d">
        <x:v>2026-10-27T17:00:00.000Z</x:v>
      </x:c>
      <x:c r="F254" s="10" t="d">
        <x:v>2026-10-27T16:00:00.000Z</x:v>
      </x:c>
      <x:c r="G254" s="2" t="str">
        <x:f>IF(F254&lt;=E254,"Đúng hẹn","Trễ hẹn")</x:f>
        <x:v>Đúng hẹn</x:v>
      </x:c>
    </x:row>
    <x:row r="255" ht="24" customHeight="1">
      <x:c r="A255" s="11" t="str">
        <x:v>FM000254</x:v>
      </x:c>
      <x:c r="B255" s="12" t="str">
        <x:f>TRIM(CLEAN(SUBSTITUTE(A255,CHAR(160)," ")))</x:f>
        <x:v>FM000254</x:v>
      </x:c>
      <x:c r="C255" s="14" t="n">
        <x:f>IF(B255="","Thiếu mã",IFERROR(VLOOKUP(B255,'GiaCuoc'!$A$2:$B$501,2,FALSE),"Cần kiểm tra mã"))</x:f>
        <x:v>45000</x:v>
      </x:c>
      <x:c r="D255" s="2" t="str">
        <x:v>Liên tỉnh</x:v>
      </x:c>
      <x:c r="E255" s="10" t="d">
        <x:v>2026-10-27T17:00:00.000Z</x:v>
      </x:c>
      <x:c r="F255" s="10" t="d">
        <x:v>2026-10-27T16:00:00.000Z</x:v>
      </x:c>
      <x:c r="G255" s="2" t="str">
        <x:f>IF(F255&lt;=E255,"Đúng hẹn","Trễ hẹn")</x:f>
        <x:v>Đúng hẹn</x:v>
      </x:c>
    </x:row>
    <x:row r="256" ht="24" customHeight="1">
      <x:c r="A256" s="11" t="str">
        <x:v>FM000255</x:v>
      </x:c>
      <x:c r="B256" s="12" t="str">
        <x:f>TRIM(CLEAN(SUBSTITUTE(A256,CHAR(160)," ")))</x:f>
        <x:v>FM000255</x:v>
      </x:c>
      <x:c r="C256" s="14" t="n">
        <x:f>IF(B256="","Thiếu mã",IFERROR(VLOOKUP(B256,'GiaCuoc'!$A$2:$B$501,2,FALSE),"Cần kiểm tra mã"))</x:f>
        <x:v>45000</x:v>
      </x:c>
      <x:c r="D256" s="2" t="str">
        <x:v>Liên tỉnh</x:v>
      </x:c>
      <x:c r="E256" s="10" t="d">
        <x:v>2026-10-27T17:00:00.000Z</x:v>
      </x:c>
      <x:c r="F256" s="10" t="d">
        <x:v>2026-10-27T16:00:00.000Z</x:v>
      </x:c>
      <x:c r="G256" s="2" t="str">
        <x:f>IF(F256&lt;=E256,"Đúng hẹn","Trễ hẹn")</x:f>
        <x:v>Đúng hẹn</x:v>
      </x:c>
    </x:row>
    <x:row r="257" ht="24" customHeight="1">
      <x:c r="A257" s="11" t="str">
        <x:v>FM000256</x:v>
      </x:c>
      <x:c r="B257" s="12" t="str">
        <x:f>TRIM(CLEAN(SUBSTITUTE(A257,CHAR(160)," ")))</x:f>
        <x:v>FM000256</x:v>
      </x:c>
      <x:c r="C257" s="14" t="n">
        <x:f>IF(B257="","Thiếu mã",IFERROR(VLOOKUP(B257,'GiaCuoc'!$A$2:$B$501,2,FALSE),"Cần kiểm tra mã"))</x:f>
        <x:v>45000</x:v>
      </x:c>
      <x:c r="D257" s="2" t="str">
        <x:v>Liên tỉnh</x:v>
      </x:c>
      <x:c r="E257" s="10" t="d">
        <x:v>2026-10-27T17:00:00.000Z</x:v>
      </x:c>
      <x:c r="F257" s="10" t="d">
        <x:v>2026-10-27T16:00:00.000Z</x:v>
      </x:c>
      <x:c r="G257" s="2" t="str">
        <x:f>IF(F257&lt;=E257,"Đúng hẹn","Trễ hẹn")</x:f>
        <x:v>Đúng hẹn</x:v>
      </x:c>
    </x:row>
    <x:row r="258" ht="24" customHeight="1">
      <x:c r="A258" s="11" t="str">
        <x:v>FM000257</x:v>
      </x:c>
      <x:c r="B258" s="12" t="str">
        <x:f>TRIM(CLEAN(SUBSTITUTE(A258,CHAR(160)," ")))</x:f>
        <x:v>FM000257</x:v>
      </x:c>
      <x:c r="C258" s="14" t="n">
        <x:f>IF(B258="","Thiếu mã",IFERROR(VLOOKUP(B258,'GiaCuoc'!$A$2:$B$501,2,FALSE),"Cần kiểm tra mã"))</x:f>
        <x:v>45000</x:v>
      </x:c>
      <x:c r="D258" s="2" t="str">
        <x:v>Liên tỉnh</x:v>
      </x:c>
      <x:c r="E258" s="10" t="d">
        <x:v>2026-10-27T17:00:00.000Z</x:v>
      </x:c>
      <x:c r="F258" s="10" t="d">
        <x:v>2026-10-27T16:00:00.000Z</x:v>
      </x:c>
      <x:c r="G258" s="2" t="str">
        <x:f>IF(F258&lt;=E258,"Đúng hẹn","Trễ hẹn")</x:f>
        <x:v>Đúng hẹn</x:v>
      </x:c>
    </x:row>
    <x:row r="259" ht="24" customHeight="1">
      <x:c r="A259" s="11" t="str">
        <x:v>FM000258</x:v>
      </x:c>
      <x:c r="B259" s="12" t="str">
        <x:f>TRIM(CLEAN(SUBSTITUTE(A259,CHAR(160)," ")))</x:f>
        <x:v>FM000258</x:v>
      </x:c>
      <x:c r="C259" s="14" t="n">
        <x:f>IF(B259="","Thiếu mã",IFERROR(VLOOKUP(B259,'GiaCuoc'!$A$2:$B$501,2,FALSE),"Cần kiểm tra mã"))</x:f>
        <x:v>45000</x:v>
      </x:c>
      <x:c r="D259" s="2" t="str">
        <x:v>Liên tỉnh</x:v>
      </x:c>
      <x:c r="E259" s="10" t="d">
        <x:v>2026-10-27T17:00:00.000Z</x:v>
      </x:c>
      <x:c r="F259" s="10" t="d">
        <x:v>2026-10-27T16:00:00.000Z</x:v>
      </x:c>
      <x:c r="G259" s="2" t="str">
        <x:f>IF(F259&lt;=E259,"Đúng hẹn","Trễ hẹn")</x:f>
        <x:v>Đúng hẹn</x:v>
      </x:c>
    </x:row>
    <x:row r="260" ht="24" customHeight="1">
      <x:c r="A260" s="11" t="str">
        <x:v>FM000259</x:v>
      </x:c>
      <x:c r="B260" s="12" t="str">
        <x:f>TRIM(CLEAN(SUBSTITUTE(A260,CHAR(160)," ")))</x:f>
        <x:v>FM000259</x:v>
      </x:c>
      <x:c r="C260" s="14" t="n">
        <x:f>IF(B260="","Thiếu mã",IFERROR(VLOOKUP(B260,'GiaCuoc'!$A$2:$B$501,2,FALSE),"Cần kiểm tra mã"))</x:f>
        <x:v>45000</x:v>
      </x:c>
      <x:c r="D260" s="2" t="str">
        <x:v>Liên tỉnh</x:v>
      </x:c>
      <x:c r="E260" s="10" t="d">
        <x:v>2026-10-27T17:00:00.000Z</x:v>
      </x:c>
      <x:c r="F260" s="10" t="d">
        <x:v>2026-10-27T16:00:00.000Z</x:v>
      </x:c>
      <x:c r="G260" s="2" t="str">
        <x:f>IF(F260&lt;=E260,"Đúng hẹn","Trễ hẹn")</x:f>
        <x:v>Đúng hẹn</x:v>
      </x:c>
    </x:row>
    <x:row r="261" ht="24" customHeight="1">
      <x:c r="A261" s="11" t="str">
        <x:v>FM000260</x:v>
      </x:c>
      <x:c r="B261" s="12" t="str">
        <x:f>TRIM(CLEAN(SUBSTITUTE(A261,CHAR(160)," ")))</x:f>
        <x:v>FM000260</x:v>
      </x:c>
      <x:c r="C261" s="14" t="n">
        <x:f>IF(B261="","Thiếu mã",IFERROR(VLOOKUP(B261,'GiaCuoc'!$A$2:$B$501,2,FALSE),"Cần kiểm tra mã"))</x:f>
        <x:v>45000</x:v>
      </x:c>
      <x:c r="D261" s="2" t="str">
        <x:v>Liên tỉnh</x:v>
      </x:c>
      <x:c r="E261" s="10" t="d">
        <x:v>2026-10-27T17:00:00.000Z</x:v>
      </x:c>
      <x:c r="F261" s="10" t="d">
        <x:v>2026-10-27T16:00:00.000Z</x:v>
      </x:c>
      <x:c r="G261" s="2" t="str">
        <x:f>IF(F261&lt;=E261,"Đúng hẹn","Trễ hẹn")</x:f>
        <x:v>Đúng hẹn</x:v>
      </x:c>
    </x:row>
    <x:row r="262" ht="24" customHeight="1">
      <x:c r="A262" s="11" t="str">
        <x:v>FM000261</x:v>
      </x:c>
      <x:c r="B262" s="12" t="str">
        <x:f>TRIM(CLEAN(SUBSTITUTE(A262,CHAR(160)," ")))</x:f>
        <x:v>FM000261</x:v>
      </x:c>
      <x:c r="C262" s="14" t="n">
        <x:f>IF(B262="","Thiếu mã",IFERROR(VLOOKUP(B262,'GiaCuoc'!$A$2:$B$501,2,FALSE),"Cần kiểm tra mã"))</x:f>
        <x:v>45000</x:v>
      </x:c>
      <x:c r="D262" s="2" t="str">
        <x:v>Liên tỉnh</x:v>
      </x:c>
      <x:c r="E262" s="10" t="d">
        <x:v>2026-10-27T17:00:00.000Z</x:v>
      </x:c>
      <x:c r="F262" s="10" t="d">
        <x:v>2026-10-27T16:00:00.000Z</x:v>
      </x:c>
      <x:c r="G262" s="2" t="str">
        <x:f>IF(F262&lt;=E262,"Đúng hẹn","Trễ hẹn")</x:f>
        <x:v>Đúng hẹn</x:v>
      </x:c>
    </x:row>
    <x:row r="263" ht="24" customHeight="1">
      <x:c r="A263" s="11" t="str">
        <x:v>FM000262</x:v>
      </x:c>
      <x:c r="B263" s="12" t="str">
        <x:f>TRIM(CLEAN(SUBSTITUTE(A263,CHAR(160)," ")))</x:f>
        <x:v>FM000262</x:v>
      </x:c>
      <x:c r="C263" s="14" t="n">
        <x:f>IF(B263="","Thiếu mã",IFERROR(VLOOKUP(B263,'GiaCuoc'!$A$2:$B$501,2,FALSE),"Cần kiểm tra mã"))</x:f>
        <x:v>45000</x:v>
      </x:c>
      <x:c r="D263" s="2" t="str">
        <x:v>Liên tỉnh</x:v>
      </x:c>
      <x:c r="E263" s="10" t="d">
        <x:v>2026-10-27T17:00:00.000Z</x:v>
      </x:c>
      <x:c r="F263" s="10" t="d">
        <x:v>2026-10-27T16:00:00.000Z</x:v>
      </x:c>
      <x:c r="G263" s="2" t="str">
        <x:f>IF(F263&lt;=E263,"Đúng hẹn","Trễ hẹn")</x:f>
        <x:v>Đúng hẹn</x:v>
      </x:c>
    </x:row>
    <x:row r="264" ht="24" customHeight="1">
      <x:c r="A264" s="11" t="str">
        <x:v>FM000263</x:v>
      </x:c>
      <x:c r="B264" s="12" t="str">
        <x:f>TRIM(CLEAN(SUBSTITUTE(A264,CHAR(160)," ")))</x:f>
        <x:v>FM000263</x:v>
      </x:c>
      <x:c r="C264" s="14" t="n">
        <x:f>IF(B264="","Thiếu mã",IFERROR(VLOOKUP(B264,'GiaCuoc'!$A$2:$B$501,2,FALSE),"Cần kiểm tra mã"))</x:f>
        <x:v>45000</x:v>
      </x:c>
      <x:c r="D264" s="2" t="str">
        <x:v>Liên tỉnh</x:v>
      </x:c>
      <x:c r="E264" s="10" t="d">
        <x:v>2026-10-27T17:00:00.000Z</x:v>
      </x:c>
      <x:c r="F264" s="10" t="d">
        <x:v>2026-10-27T16:00:00.000Z</x:v>
      </x:c>
      <x:c r="G264" s="2" t="str">
        <x:f>IF(F264&lt;=E264,"Đúng hẹn","Trễ hẹn")</x:f>
        <x:v>Đúng hẹn</x:v>
      </x:c>
    </x:row>
    <x:row r="265" ht="24" customHeight="1">
      <x:c r="A265" s="11" t="str">
        <x:v>FM000264</x:v>
      </x:c>
      <x:c r="B265" s="12" t="str">
        <x:f>TRIM(CLEAN(SUBSTITUTE(A265,CHAR(160)," ")))</x:f>
        <x:v>FM000264</x:v>
      </x:c>
      <x:c r="C265" s="14" t="n">
        <x:f>IF(B265="","Thiếu mã",IFERROR(VLOOKUP(B265,'GiaCuoc'!$A$2:$B$501,2,FALSE),"Cần kiểm tra mã"))</x:f>
        <x:v>45000</x:v>
      </x:c>
      <x:c r="D265" s="2" t="str">
        <x:v>Liên tỉnh</x:v>
      </x:c>
      <x:c r="E265" s="10" t="d">
        <x:v>2026-10-27T17:00:00.000Z</x:v>
      </x:c>
      <x:c r="F265" s="10" t="d">
        <x:v>2026-10-27T16:00:00.000Z</x:v>
      </x:c>
      <x:c r="G265" s="2" t="str">
        <x:f>IF(F265&lt;=E265,"Đúng hẹn","Trễ hẹn")</x:f>
        <x:v>Đúng hẹn</x:v>
      </x:c>
    </x:row>
    <x:row r="266" ht="24" customHeight="1">
      <x:c r="A266" s="11" t="str">
        <x:v>FM000265</x:v>
      </x:c>
      <x:c r="B266" s="12" t="str">
        <x:f>TRIM(CLEAN(SUBSTITUTE(A266,CHAR(160)," ")))</x:f>
        <x:v>FM000265</x:v>
      </x:c>
      <x:c r="C266" s="14" t="n">
        <x:f>IF(B266="","Thiếu mã",IFERROR(VLOOKUP(B266,'GiaCuoc'!$A$2:$B$501,2,FALSE),"Cần kiểm tra mã"))</x:f>
        <x:v>45000</x:v>
      </x:c>
      <x:c r="D266" s="2" t="str">
        <x:v>Liên tỉnh</x:v>
      </x:c>
      <x:c r="E266" s="10" t="d">
        <x:v>2026-10-27T17:00:00.000Z</x:v>
      </x:c>
      <x:c r="F266" s="10" t="d">
        <x:v>2026-10-27T16:00:00.000Z</x:v>
      </x:c>
      <x:c r="G266" s="2" t="str">
        <x:f>IF(F266&lt;=E266,"Đúng hẹn","Trễ hẹn")</x:f>
        <x:v>Đúng hẹn</x:v>
      </x:c>
    </x:row>
    <x:row r="267" ht="24" customHeight="1">
      <x:c r="A267" s="11" t="str">
        <x:v>FM000266</x:v>
      </x:c>
      <x:c r="B267" s="12" t="str">
        <x:f>TRIM(CLEAN(SUBSTITUTE(A267,CHAR(160)," ")))</x:f>
        <x:v>FM000266</x:v>
      </x:c>
      <x:c r="C267" s="14" t="n">
        <x:f>IF(B267="","Thiếu mã",IFERROR(VLOOKUP(B267,'GiaCuoc'!$A$2:$B$501,2,FALSE),"Cần kiểm tra mã"))</x:f>
        <x:v>45000</x:v>
      </x:c>
      <x:c r="D267" s="2" t="str">
        <x:v>Liên tỉnh</x:v>
      </x:c>
      <x:c r="E267" s="10" t="d">
        <x:v>2026-10-27T17:00:00.000Z</x:v>
      </x:c>
      <x:c r="F267" s="10" t="d">
        <x:v>2026-10-27T16:00:00.000Z</x:v>
      </x:c>
      <x:c r="G267" s="2" t="str">
        <x:f>IF(F267&lt;=E267,"Đúng hẹn","Trễ hẹn")</x:f>
        <x:v>Đúng hẹn</x:v>
      </x:c>
    </x:row>
    <x:row r="268" ht="24" customHeight="1">
      <x:c r="A268" s="11" t="str">
        <x:v>FM000267</x:v>
      </x:c>
      <x:c r="B268" s="12" t="str">
        <x:f>TRIM(CLEAN(SUBSTITUTE(A268,CHAR(160)," ")))</x:f>
        <x:v>FM000267</x:v>
      </x:c>
      <x:c r="C268" s="14" t="n">
        <x:f>IF(B268="","Thiếu mã",IFERROR(VLOOKUP(B268,'GiaCuoc'!$A$2:$B$501,2,FALSE),"Cần kiểm tra mã"))</x:f>
        <x:v>45000</x:v>
      </x:c>
      <x:c r="D268" s="2" t="str">
        <x:v>Liên tỉnh</x:v>
      </x:c>
      <x:c r="E268" s="10" t="d">
        <x:v>2026-10-27T17:00:00.000Z</x:v>
      </x:c>
      <x:c r="F268" s="10" t="d">
        <x:v>2026-10-27T16:00:00.000Z</x:v>
      </x:c>
      <x:c r="G268" s="2" t="str">
        <x:f>IF(F268&lt;=E268,"Đúng hẹn","Trễ hẹn")</x:f>
        <x:v>Đúng hẹn</x:v>
      </x:c>
    </x:row>
    <x:row r="269" ht="24" customHeight="1">
      <x:c r="A269" s="11" t="str">
        <x:v>FM000268</x:v>
      </x:c>
      <x:c r="B269" s="12" t="str">
        <x:f>TRIM(CLEAN(SUBSTITUTE(A269,CHAR(160)," ")))</x:f>
        <x:v>FM000268</x:v>
      </x:c>
      <x:c r="C269" s="14" t="n">
        <x:f>IF(B269="","Thiếu mã",IFERROR(VLOOKUP(B269,'GiaCuoc'!$A$2:$B$501,2,FALSE),"Cần kiểm tra mã"))</x:f>
        <x:v>45000</x:v>
      </x:c>
      <x:c r="D269" s="2" t="str">
        <x:v>Liên tỉnh</x:v>
      </x:c>
      <x:c r="E269" s="10" t="d">
        <x:v>2026-10-27T17:00:00.000Z</x:v>
      </x:c>
      <x:c r="F269" s="10" t="d">
        <x:v>2026-10-27T16:00:00.000Z</x:v>
      </x:c>
      <x:c r="G269" s="2" t="str">
        <x:f>IF(F269&lt;=E269,"Đúng hẹn","Trễ hẹn")</x:f>
        <x:v>Đúng hẹn</x:v>
      </x:c>
    </x:row>
    <x:row r="270" ht="24" customHeight="1">
      <x:c r="A270" s="11" t="str">
        <x:v>FM000269</x:v>
      </x:c>
      <x:c r="B270" s="12" t="str">
        <x:f>TRIM(CLEAN(SUBSTITUTE(A270,CHAR(160)," ")))</x:f>
        <x:v>FM000269</x:v>
      </x:c>
      <x:c r="C270" s="14" t="n">
        <x:f>IF(B270="","Thiếu mã",IFERROR(VLOOKUP(B270,'GiaCuoc'!$A$2:$B$501,2,FALSE),"Cần kiểm tra mã"))</x:f>
        <x:v>45000</x:v>
      </x:c>
      <x:c r="D270" s="2" t="str">
        <x:v>Liên tỉnh</x:v>
      </x:c>
      <x:c r="E270" s="10" t="d">
        <x:v>2026-10-27T17:00:00.000Z</x:v>
      </x:c>
      <x:c r="F270" s="10" t="d">
        <x:v>2026-10-27T16:00:00.000Z</x:v>
      </x:c>
      <x:c r="G270" s="2" t="str">
        <x:f>IF(F270&lt;=E270,"Đúng hẹn","Trễ hẹn")</x:f>
        <x:v>Đúng hẹn</x:v>
      </x:c>
    </x:row>
    <x:row r="271" ht="24" customHeight="1">
      <x:c r="A271" s="11" t="str">
        <x:v>FM000270</x:v>
      </x:c>
      <x:c r="B271" s="12" t="str">
        <x:f>TRIM(CLEAN(SUBSTITUTE(A271,CHAR(160)," ")))</x:f>
        <x:v>FM000270</x:v>
      </x:c>
      <x:c r="C271" s="14" t="n">
        <x:f>IF(B271="","Thiếu mã",IFERROR(VLOOKUP(B271,'GiaCuoc'!$A$2:$B$501,2,FALSE),"Cần kiểm tra mã"))</x:f>
        <x:v>45000</x:v>
      </x:c>
      <x:c r="D271" s="2" t="str">
        <x:v>Liên tỉnh</x:v>
      </x:c>
      <x:c r="E271" s="10" t="d">
        <x:v>2026-10-27T17:00:00.000Z</x:v>
      </x:c>
      <x:c r="F271" s="10" t="d">
        <x:v>2026-10-27T16:00:00.000Z</x:v>
      </x:c>
      <x:c r="G271" s="2" t="str">
        <x:f>IF(F271&lt;=E271,"Đúng hẹn","Trễ hẹn")</x:f>
        <x:v>Đúng hẹn</x:v>
      </x:c>
    </x:row>
    <x:row r="272" ht="24" customHeight="1">
      <x:c r="A272" s="11" t="str">
        <x:v>FM000271</x:v>
      </x:c>
      <x:c r="B272" s="12" t="str">
        <x:f>TRIM(CLEAN(SUBSTITUTE(A272,CHAR(160)," ")))</x:f>
        <x:v>FM000271</x:v>
      </x:c>
      <x:c r="C272" s="14" t="n">
        <x:f>IF(B272="","Thiếu mã",IFERROR(VLOOKUP(B272,'GiaCuoc'!$A$2:$B$501,2,FALSE),"Cần kiểm tra mã"))</x:f>
        <x:v>45000</x:v>
      </x:c>
      <x:c r="D272" s="2" t="str">
        <x:v>Liên tỉnh</x:v>
      </x:c>
      <x:c r="E272" s="10" t="d">
        <x:v>2026-10-27T17:00:00.000Z</x:v>
      </x:c>
      <x:c r="F272" s="10" t="d">
        <x:v>2026-10-27T16:00:00.000Z</x:v>
      </x:c>
      <x:c r="G272" s="2" t="str">
        <x:f>IF(F272&lt;=E272,"Đúng hẹn","Trễ hẹn")</x:f>
        <x:v>Đúng hẹn</x:v>
      </x:c>
    </x:row>
    <x:row r="273" ht="24" customHeight="1">
      <x:c r="A273" s="11" t="str">
        <x:v>FM000272</x:v>
      </x:c>
      <x:c r="B273" s="12" t="str">
        <x:f>TRIM(CLEAN(SUBSTITUTE(A273,CHAR(160)," ")))</x:f>
        <x:v>FM000272</x:v>
      </x:c>
      <x:c r="C273" s="14" t="n">
        <x:f>IF(B273="","Thiếu mã",IFERROR(VLOOKUP(B273,'GiaCuoc'!$A$2:$B$501,2,FALSE),"Cần kiểm tra mã"))</x:f>
        <x:v>45000</x:v>
      </x:c>
      <x:c r="D273" s="2" t="str">
        <x:v>Liên tỉnh</x:v>
      </x:c>
      <x:c r="E273" s="10" t="d">
        <x:v>2026-10-27T17:00:00.000Z</x:v>
      </x:c>
      <x:c r="F273" s="10" t="d">
        <x:v>2026-10-27T16:00:00.000Z</x:v>
      </x:c>
      <x:c r="G273" s="2" t="str">
        <x:f>IF(F273&lt;=E273,"Đúng hẹn","Trễ hẹn")</x:f>
        <x:v>Đúng hẹn</x:v>
      </x:c>
    </x:row>
    <x:row r="274" ht="24" customHeight="1">
      <x:c r="A274" s="11" t="str">
        <x:v>FM000273</x:v>
      </x:c>
      <x:c r="B274" s="12" t="str">
        <x:f>TRIM(CLEAN(SUBSTITUTE(A274,CHAR(160)," ")))</x:f>
        <x:v>FM000273</x:v>
      </x:c>
      <x:c r="C274" s="14" t="n">
        <x:f>IF(B274="","Thiếu mã",IFERROR(VLOOKUP(B274,'GiaCuoc'!$A$2:$B$501,2,FALSE),"Cần kiểm tra mã"))</x:f>
        <x:v>45000</x:v>
      </x:c>
      <x:c r="D274" s="2" t="str">
        <x:v>Liên tỉnh</x:v>
      </x:c>
      <x:c r="E274" s="10" t="d">
        <x:v>2026-10-27T17:00:00.000Z</x:v>
      </x:c>
      <x:c r="F274" s="10" t="d">
        <x:v>2026-10-27T16:00:00.000Z</x:v>
      </x:c>
      <x:c r="G274" s="2" t="str">
        <x:f>IF(F274&lt;=E274,"Đúng hẹn","Trễ hẹn")</x:f>
        <x:v>Đúng hẹn</x:v>
      </x:c>
    </x:row>
    <x:row r="275" ht="24" customHeight="1">
      <x:c r="A275" s="11" t="str">
        <x:v>FM000274</x:v>
      </x:c>
      <x:c r="B275" s="12" t="str">
        <x:f>TRIM(CLEAN(SUBSTITUTE(A275,CHAR(160)," ")))</x:f>
        <x:v>FM000274</x:v>
      </x:c>
      <x:c r="C275" s="14" t="n">
        <x:f>IF(B275="","Thiếu mã",IFERROR(VLOOKUP(B275,'GiaCuoc'!$A$2:$B$501,2,FALSE),"Cần kiểm tra mã"))</x:f>
        <x:v>45000</x:v>
      </x:c>
      <x:c r="D275" s="2" t="str">
        <x:v>Liên tỉnh</x:v>
      </x:c>
      <x:c r="E275" s="10" t="d">
        <x:v>2026-10-27T17:00:00.000Z</x:v>
      </x:c>
      <x:c r="F275" s="10" t="d">
        <x:v>2026-10-27T16:00:00.000Z</x:v>
      </x:c>
      <x:c r="G275" s="2" t="str">
        <x:f>IF(F275&lt;=E275,"Đúng hẹn","Trễ hẹn")</x:f>
        <x:v>Đúng hẹn</x:v>
      </x:c>
    </x:row>
    <x:row r="276" ht="24" customHeight="1">
      <x:c r="A276" s="11" t="str">
        <x:v>FM000275</x:v>
      </x:c>
      <x:c r="B276" s="12" t="str">
        <x:f>TRIM(CLEAN(SUBSTITUTE(A276,CHAR(160)," ")))</x:f>
        <x:v>FM000275</x:v>
      </x:c>
      <x:c r="C276" s="14" t="n">
        <x:f>IF(B276="","Thiếu mã",IFERROR(VLOOKUP(B276,'GiaCuoc'!$A$2:$B$501,2,FALSE),"Cần kiểm tra mã"))</x:f>
        <x:v>45000</x:v>
      </x:c>
      <x:c r="D276" s="2" t="str">
        <x:v>Liên tỉnh</x:v>
      </x:c>
      <x:c r="E276" s="10" t="d">
        <x:v>2026-10-27T17:00:00.000Z</x:v>
      </x:c>
      <x:c r="F276" s="10" t="d">
        <x:v>2026-10-27T16:00:00.000Z</x:v>
      </x:c>
      <x:c r="G276" s="2" t="str">
        <x:f>IF(F276&lt;=E276,"Đúng hẹn","Trễ hẹn")</x:f>
        <x:v>Đúng hẹn</x:v>
      </x:c>
    </x:row>
    <x:row r="277" ht="24" customHeight="1">
      <x:c r="A277" s="11" t="str">
        <x:v>FM000276</x:v>
      </x:c>
      <x:c r="B277" s="12" t="str">
        <x:f>TRIM(CLEAN(SUBSTITUTE(A277,CHAR(160)," ")))</x:f>
        <x:v>FM000276</x:v>
      </x:c>
      <x:c r="C277" s="14" t="n">
        <x:f>IF(B277="","Thiếu mã",IFERROR(VLOOKUP(B277,'GiaCuoc'!$A$2:$B$501,2,FALSE),"Cần kiểm tra mã"))</x:f>
        <x:v>45000</x:v>
      </x:c>
      <x:c r="D277" s="2" t="str">
        <x:v>Liên tỉnh</x:v>
      </x:c>
      <x:c r="E277" s="10" t="d">
        <x:v>2026-10-27T17:00:00.000Z</x:v>
      </x:c>
      <x:c r="F277" s="10" t="d">
        <x:v>2026-10-27T16:00:00.000Z</x:v>
      </x:c>
      <x:c r="G277" s="2" t="str">
        <x:f>IF(F277&lt;=E277,"Đúng hẹn","Trễ hẹn")</x:f>
        <x:v>Đúng hẹn</x:v>
      </x:c>
    </x:row>
    <x:row r="278" ht="24" customHeight="1">
      <x:c r="A278" s="11" t="str">
        <x:v>FM000277</x:v>
      </x:c>
      <x:c r="B278" s="12" t="str">
        <x:f>TRIM(CLEAN(SUBSTITUTE(A278,CHAR(160)," ")))</x:f>
        <x:v>FM000277</x:v>
      </x:c>
      <x:c r="C278" s="14" t="n">
        <x:f>IF(B278="","Thiếu mã",IFERROR(VLOOKUP(B278,'GiaCuoc'!$A$2:$B$501,2,FALSE),"Cần kiểm tra mã"))</x:f>
        <x:v>45000</x:v>
      </x:c>
      <x:c r="D278" s="2" t="str">
        <x:v>Liên tỉnh</x:v>
      </x:c>
      <x:c r="E278" s="10" t="d">
        <x:v>2026-10-27T17:00:00.000Z</x:v>
      </x:c>
      <x:c r="F278" s="10" t="d">
        <x:v>2026-10-27T16:00:00.000Z</x:v>
      </x:c>
      <x:c r="G278" s="2" t="str">
        <x:f>IF(F278&lt;=E278,"Đúng hẹn","Trễ hẹn")</x:f>
        <x:v>Đúng hẹn</x:v>
      </x:c>
    </x:row>
    <x:row r="279" ht="24" customHeight="1">
      <x:c r="A279" s="11" t="str">
        <x:v>FM000278</x:v>
      </x:c>
      <x:c r="B279" s="12" t="str">
        <x:f>TRIM(CLEAN(SUBSTITUTE(A279,CHAR(160)," ")))</x:f>
        <x:v>FM000278</x:v>
      </x:c>
      <x:c r="C279" s="14" t="n">
        <x:f>IF(B279="","Thiếu mã",IFERROR(VLOOKUP(B279,'GiaCuoc'!$A$2:$B$501,2,FALSE),"Cần kiểm tra mã"))</x:f>
        <x:v>45000</x:v>
      </x:c>
      <x:c r="D279" s="2" t="str">
        <x:v>Liên tỉnh</x:v>
      </x:c>
      <x:c r="E279" s="10" t="d">
        <x:v>2026-10-27T17:00:00.000Z</x:v>
      </x:c>
      <x:c r="F279" s="10" t="d">
        <x:v>2026-10-27T16:00:00.000Z</x:v>
      </x:c>
      <x:c r="G279" s="2" t="str">
        <x:f>IF(F279&lt;=E279,"Đúng hẹn","Trễ hẹn")</x:f>
        <x:v>Đúng hẹn</x:v>
      </x:c>
    </x:row>
    <x:row r="280" ht="24" customHeight="1">
      <x:c r="A280" s="11" t="str">
        <x:v>FM000279</x:v>
      </x:c>
      <x:c r="B280" s="12" t="str">
        <x:f>TRIM(CLEAN(SUBSTITUTE(A280,CHAR(160)," ")))</x:f>
        <x:v>FM000279</x:v>
      </x:c>
      <x:c r="C280" s="14" t="n">
        <x:f>IF(B280="","Thiếu mã",IFERROR(VLOOKUP(B280,'GiaCuoc'!$A$2:$B$501,2,FALSE),"Cần kiểm tra mã"))</x:f>
        <x:v>45000</x:v>
      </x:c>
      <x:c r="D280" s="2" t="str">
        <x:v>Liên tỉnh</x:v>
      </x:c>
      <x:c r="E280" s="10" t="d">
        <x:v>2026-10-27T17:00:00.000Z</x:v>
      </x:c>
      <x:c r="F280" s="10" t="d">
        <x:v>2026-10-27T16:00:00.000Z</x:v>
      </x:c>
      <x:c r="G280" s="2" t="str">
        <x:f>IF(F280&lt;=E280,"Đúng hẹn","Trễ hẹn")</x:f>
        <x:v>Đúng hẹn</x:v>
      </x:c>
    </x:row>
    <x:row r="281" ht="24" customHeight="1">
      <x:c r="A281" s="11" t="str">
        <x:v>FM000280</x:v>
      </x:c>
      <x:c r="B281" s="12" t="str">
        <x:f>TRIM(CLEAN(SUBSTITUTE(A281,CHAR(160)," ")))</x:f>
        <x:v>FM000280</x:v>
      </x:c>
      <x:c r="C281" s="14" t="n">
        <x:f>IF(B281="","Thiếu mã",IFERROR(VLOOKUP(B281,'GiaCuoc'!$A$2:$B$501,2,FALSE),"Cần kiểm tra mã"))</x:f>
        <x:v>45000</x:v>
      </x:c>
      <x:c r="D281" s="2" t="str">
        <x:v>Liên tỉnh</x:v>
      </x:c>
      <x:c r="E281" s="10" t="d">
        <x:v>2026-10-27T17:00:00.000Z</x:v>
      </x:c>
      <x:c r="F281" s="10" t="d">
        <x:v>2026-10-27T16:00:00.000Z</x:v>
      </x:c>
      <x:c r="G281" s="2" t="str">
        <x:f>IF(F281&lt;=E281,"Đúng hẹn","Trễ hẹn")</x:f>
        <x:v>Đúng hẹn</x:v>
      </x:c>
    </x:row>
    <x:row r="282" ht="24" customHeight="1">
      <x:c r="A282" s="11" t="str">
        <x:v>FM000281</x:v>
      </x:c>
      <x:c r="B282" s="12" t="str">
        <x:f>TRIM(CLEAN(SUBSTITUTE(A282,CHAR(160)," ")))</x:f>
        <x:v>FM000281</x:v>
      </x:c>
      <x:c r="C282" s="14" t="n">
        <x:f>IF(B282="","Thiếu mã",IFERROR(VLOOKUP(B282,'GiaCuoc'!$A$2:$B$501,2,FALSE),"Cần kiểm tra mã"))</x:f>
        <x:v>45000</x:v>
      </x:c>
      <x:c r="D282" s="2" t="str">
        <x:v>Liên tỉnh</x:v>
      </x:c>
      <x:c r="E282" s="10" t="d">
        <x:v>2026-10-27T17:00:00.000Z</x:v>
      </x:c>
      <x:c r="F282" s="10" t="d">
        <x:v>2026-10-27T16:00:00.000Z</x:v>
      </x:c>
      <x:c r="G282" s="2" t="str">
        <x:f>IF(F282&lt;=E282,"Đúng hẹn","Trễ hẹn")</x:f>
        <x:v>Đúng hẹn</x:v>
      </x:c>
    </x:row>
    <x:row r="283" ht="24" customHeight="1">
      <x:c r="A283" s="11" t="str">
        <x:v>FM000282</x:v>
      </x:c>
      <x:c r="B283" s="12" t="str">
        <x:f>TRIM(CLEAN(SUBSTITUTE(A283,CHAR(160)," ")))</x:f>
        <x:v>FM000282</x:v>
      </x:c>
      <x:c r="C283" s="14" t="n">
        <x:f>IF(B283="","Thiếu mã",IFERROR(VLOOKUP(B283,'GiaCuoc'!$A$2:$B$501,2,FALSE),"Cần kiểm tra mã"))</x:f>
        <x:v>45000</x:v>
      </x:c>
      <x:c r="D283" s="2" t="str">
        <x:v>Liên tỉnh</x:v>
      </x:c>
      <x:c r="E283" s="10" t="d">
        <x:v>2026-10-27T17:00:00.000Z</x:v>
      </x:c>
      <x:c r="F283" s="10" t="d">
        <x:v>2026-10-27T16:00:00.000Z</x:v>
      </x:c>
      <x:c r="G283" s="2" t="str">
        <x:f>IF(F283&lt;=E283,"Đúng hẹn","Trễ hẹn")</x:f>
        <x:v>Đúng hẹn</x:v>
      </x:c>
    </x:row>
    <x:row r="284" ht="24" customHeight="1">
      <x:c r="A284" s="11" t="str">
        <x:v>FM000283</x:v>
      </x:c>
      <x:c r="B284" s="12" t="str">
        <x:f>TRIM(CLEAN(SUBSTITUTE(A284,CHAR(160)," ")))</x:f>
        <x:v>FM000283</x:v>
      </x:c>
      <x:c r="C284" s="14" t="n">
        <x:f>IF(B284="","Thiếu mã",IFERROR(VLOOKUP(B284,'GiaCuoc'!$A$2:$B$501,2,FALSE),"Cần kiểm tra mã"))</x:f>
        <x:v>45000</x:v>
      </x:c>
      <x:c r="D284" s="2" t="str">
        <x:v>Liên tỉnh</x:v>
      </x:c>
      <x:c r="E284" s="10" t="d">
        <x:v>2026-10-27T17:00:00.000Z</x:v>
      </x:c>
      <x:c r="F284" s="10" t="d">
        <x:v>2026-10-27T16:00:00.000Z</x:v>
      </x:c>
      <x:c r="G284" s="2" t="str">
        <x:f>IF(F284&lt;=E284,"Đúng hẹn","Trễ hẹn")</x:f>
        <x:v>Đúng hẹn</x:v>
      </x:c>
    </x:row>
    <x:row r="285" ht="24" customHeight="1">
      <x:c r="A285" s="11" t="str">
        <x:v>FM000284</x:v>
      </x:c>
      <x:c r="B285" s="12" t="str">
        <x:f>TRIM(CLEAN(SUBSTITUTE(A285,CHAR(160)," ")))</x:f>
        <x:v>FM000284</x:v>
      </x:c>
      <x:c r="C285" s="14" t="n">
        <x:f>IF(B285="","Thiếu mã",IFERROR(VLOOKUP(B285,'GiaCuoc'!$A$2:$B$501,2,FALSE),"Cần kiểm tra mã"))</x:f>
        <x:v>45000</x:v>
      </x:c>
      <x:c r="D285" s="2" t="str">
        <x:v>Liên tỉnh</x:v>
      </x:c>
      <x:c r="E285" s="10" t="d">
        <x:v>2026-10-27T17:00:00.000Z</x:v>
      </x:c>
      <x:c r="F285" s="10" t="d">
        <x:v>2026-10-27T16:00:00.000Z</x:v>
      </x:c>
      <x:c r="G285" s="2" t="str">
        <x:f>IF(F285&lt;=E285,"Đúng hẹn","Trễ hẹn")</x:f>
        <x:v>Đúng hẹn</x:v>
      </x:c>
    </x:row>
    <x:row r="286" ht="24" customHeight="1">
      <x:c r="A286" s="11" t="str">
        <x:v>FM000285</x:v>
      </x:c>
      <x:c r="B286" s="12" t="str">
        <x:f>TRIM(CLEAN(SUBSTITUTE(A286,CHAR(160)," ")))</x:f>
        <x:v>FM000285</x:v>
      </x:c>
      <x:c r="C286" s="14" t="n">
        <x:f>IF(B286="","Thiếu mã",IFERROR(VLOOKUP(B286,'GiaCuoc'!$A$2:$B$501,2,FALSE),"Cần kiểm tra mã"))</x:f>
        <x:v>45000</x:v>
      </x:c>
      <x:c r="D286" s="2" t="str">
        <x:v>Liên tỉnh</x:v>
      </x:c>
      <x:c r="E286" s="10" t="d">
        <x:v>2026-10-27T17:00:00.000Z</x:v>
      </x:c>
      <x:c r="F286" s="10" t="d">
        <x:v>2026-10-27T16:00:00.000Z</x:v>
      </x:c>
      <x:c r="G286" s="2" t="str">
        <x:f>IF(F286&lt;=E286,"Đúng hẹn","Trễ hẹn")</x:f>
        <x:v>Đúng hẹn</x:v>
      </x:c>
    </x:row>
    <x:row r="287" ht="24" customHeight="1">
      <x:c r="A287" s="11" t="str">
        <x:v>FM000286</x:v>
      </x:c>
      <x:c r="B287" s="12" t="str">
        <x:f>TRIM(CLEAN(SUBSTITUTE(A287,CHAR(160)," ")))</x:f>
        <x:v>FM000286</x:v>
      </x:c>
      <x:c r="C287" s="14" t="n">
        <x:f>IF(B287="","Thiếu mã",IFERROR(VLOOKUP(B287,'GiaCuoc'!$A$2:$B$501,2,FALSE),"Cần kiểm tra mã"))</x:f>
        <x:v>45000</x:v>
      </x:c>
      <x:c r="D287" s="2" t="str">
        <x:v>Liên tỉnh</x:v>
      </x:c>
      <x:c r="E287" s="10" t="d">
        <x:v>2026-10-27T17:00:00.000Z</x:v>
      </x:c>
      <x:c r="F287" s="10" t="d">
        <x:v>2026-10-27T16:00:00.000Z</x:v>
      </x:c>
      <x:c r="G287" s="2" t="str">
        <x:f>IF(F287&lt;=E287,"Đúng hẹn","Trễ hẹn")</x:f>
        <x:v>Đúng hẹn</x:v>
      </x:c>
    </x:row>
    <x:row r="288" ht="24" customHeight="1">
      <x:c r="A288" s="11" t="str">
        <x:v>FM000287</x:v>
      </x:c>
      <x:c r="B288" s="12" t="str">
        <x:f>TRIM(CLEAN(SUBSTITUTE(A288,CHAR(160)," ")))</x:f>
        <x:v>FM000287</x:v>
      </x:c>
      <x:c r="C288" s="14" t="n">
        <x:f>IF(B288="","Thiếu mã",IFERROR(VLOOKUP(B288,'GiaCuoc'!$A$2:$B$501,2,FALSE),"Cần kiểm tra mã"))</x:f>
        <x:v>45000</x:v>
      </x:c>
      <x:c r="D288" s="2" t="str">
        <x:v>Liên tỉnh</x:v>
      </x:c>
      <x:c r="E288" s="10" t="d">
        <x:v>2026-10-27T17:00:00.000Z</x:v>
      </x:c>
      <x:c r="F288" s="10" t="d">
        <x:v>2026-10-27T16:00:00.000Z</x:v>
      </x:c>
      <x:c r="G288" s="2" t="str">
        <x:f>IF(F288&lt;=E288,"Đúng hẹn","Trễ hẹn")</x:f>
        <x:v>Đúng hẹn</x:v>
      </x:c>
    </x:row>
    <x:row r="289" ht="24" customHeight="1">
      <x:c r="A289" s="11" t="str">
        <x:v>FM000288</x:v>
      </x:c>
      <x:c r="B289" s="12" t="str">
        <x:f>TRIM(CLEAN(SUBSTITUTE(A289,CHAR(160)," ")))</x:f>
        <x:v>FM000288</x:v>
      </x:c>
      <x:c r="C289" s="14" t="n">
        <x:f>IF(B289="","Thiếu mã",IFERROR(VLOOKUP(B289,'GiaCuoc'!$A$2:$B$501,2,FALSE),"Cần kiểm tra mã"))</x:f>
        <x:v>45000</x:v>
      </x:c>
      <x:c r="D289" s="2" t="str">
        <x:v>Liên tỉnh</x:v>
      </x:c>
      <x:c r="E289" s="10" t="d">
        <x:v>2026-10-27T17:00:00.000Z</x:v>
      </x:c>
      <x:c r="F289" s="10" t="d">
        <x:v>2026-10-27T16:00:00.000Z</x:v>
      </x:c>
      <x:c r="G289" s="2" t="str">
        <x:f>IF(F289&lt;=E289,"Đúng hẹn","Trễ hẹn")</x:f>
        <x:v>Đúng hẹn</x:v>
      </x:c>
    </x:row>
    <x:row r="290" ht="24" customHeight="1">
      <x:c r="A290" s="11" t="str">
        <x:v>FM000289</x:v>
      </x:c>
      <x:c r="B290" s="12" t="str">
        <x:f>TRIM(CLEAN(SUBSTITUTE(A290,CHAR(160)," ")))</x:f>
        <x:v>FM000289</x:v>
      </x:c>
      <x:c r="C290" s="14" t="n">
        <x:f>IF(B290="","Thiếu mã",IFERROR(VLOOKUP(B290,'GiaCuoc'!$A$2:$B$501,2,FALSE),"Cần kiểm tra mã"))</x:f>
        <x:v>45000</x:v>
      </x:c>
      <x:c r="D290" s="2" t="str">
        <x:v>Liên tỉnh</x:v>
      </x:c>
      <x:c r="E290" s="10" t="d">
        <x:v>2026-10-27T17:00:00.000Z</x:v>
      </x:c>
      <x:c r="F290" s="10" t="d">
        <x:v>2026-10-27T16:00:00.000Z</x:v>
      </x:c>
      <x:c r="G290" s="2" t="str">
        <x:f>IF(F290&lt;=E290,"Đúng hẹn","Trễ hẹn")</x:f>
        <x:v>Đúng hẹn</x:v>
      </x:c>
    </x:row>
    <x:row r="291" ht="24" customHeight="1">
      <x:c r="A291" s="11" t="str">
        <x:v>FM000290</x:v>
      </x:c>
      <x:c r="B291" s="12" t="str">
        <x:f>TRIM(CLEAN(SUBSTITUTE(A291,CHAR(160)," ")))</x:f>
        <x:v>FM000290</x:v>
      </x:c>
      <x:c r="C291" s="14" t="n">
        <x:f>IF(B291="","Thiếu mã",IFERROR(VLOOKUP(B291,'GiaCuoc'!$A$2:$B$501,2,FALSE),"Cần kiểm tra mã"))</x:f>
        <x:v>45000</x:v>
      </x:c>
      <x:c r="D291" s="2" t="str">
        <x:v>Liên tỉnh</x:v>
      </x:c>
      <x:c r="E291" s="10" t="d">
        <x:v>2026-10-27T17:00:00.000Z</x:v>
      </x:c>
      <x:c r="F291" s="10" t="d">
        <x:v>2026-10-27T16:00:00.000Z</x:v>
      </x:c>
      <x:c r="G291" s="2" t="str">
        <x:f>IF(F291&lt;=E291,"Đúng hẹn","Trễ hẹn")</x:f>
        <x:v>Đúng hẹn</x:v>
      </x:c>
    </x:row>
    <x:row r="292" ht="24" customHeight="1">
      <x:c r="A292" s="11" t="str">
        <x:v>FM000291</x:v>
      </x:c>
      <x:c r="B292" s="12" t="str">
        <x:f>TRIM(CLEAN(SUBSTITUTE(A292,CHAR(160)," ")))</x:f>
        <x:v>FM000291</x:v>
      </x:c>
      <x:c r="C292" s="14" t="n">
        <x:f>IF(B292="","Thiếu mã",IFERROR(VLOOKUP(B292,'GiaCuoc'!$A$2:$B$501,2,FALSE),"Cần kiểm tra mã"))</x:f>
        <x:v>45000</x:v>
      </x:c>
      <x:c r="D292" s="2" t="str">
        <x:v>Liên tỉnh</x:v>
      </x:c>
      <x:c r="E292" s="10" t="d">
        <x:v>2026-10-27T17:00:00.000Z</x:v>
      </x:c>
      <x:c r="F292" s="10" t="d">
        <x:v>2026-10-27T16:00:00.000Z</x:v>
      </x:c>
      <x:c r="G292" s="2" t="str">
        <x:f>IF(F292&lt;=E292,"Đúng hẹn","Trễ hẹn")</x:f>
        <x:v>Đúng hẹn</x:v>
      </x:c>
    </x:row>
    <x:row r="293" ht="24" customHeight="1">
      <x:c r="A293" s="11" t="str">
        <x:v>FM000292</x:v>
      </x:c>
      <x:c r="B293" s="12" t="str">
        <x:f>TRIM(CLEAN(SUBSTITUTE(A293,CHAR(160)," ")))</x:f>
        <x:v>FM000292</x:v>
      </x:c>
      <x:c r="C293" s="14" t="n">
        <x:f>IF(B293="","Thiếu mã",IFERROR(VLOOKUP(B293,'GiaCuoc'!$A$2:$B$501,2,FALSE),"Cần kiểm tra mã"))</x:f>
        <x:v>45000</x:v>
      </x:c>
      <x:c r="D293" s="2" t="str">
        <x:v>Liên tỉnh</x:v>
      </x:c>
      <x:c r="E293" s="10" t="d">
        <x:v>2026-10-27T17:00:00.000Z</x:v>
      </x:c>
      <x:c r="F293" s="10" t="d">
        <x:v>2026-10-27T16:00:00.000Z</x:v>
      </x:c>
      <x:c r="G293" s="2" t="str">
        <x:f>IF(F293&lt;=E293,"Đúng hẹn","Trễ hẹn")</x:f>
        <x:v>Đúng hẹn</x:v>
      </x:c>
    </x:row>
    <x:row r="294" ht="24" customHeight="1">
      <x:c r="A294" s="11" t="str">
        <x:v>FM000293</x:v>
      </x:c>
      <x:c r="B294" s="12" t="str">
        <x:f>TRIM(CLEAN(SUBSTITUTE(A294,CHAR(160)," ")))</x:f>
        <x:v>FM000293</x:v>
      </x:c>
      <x:c r="C294" s="14" t="n">
        <x:f>IF(B294="","Thiếu mã",IFERROR(VLOOKUP(B294,'GiaCuoc'!$A$2:$B$501,2,FALSE),"Cần kiểm tra mã"))</x:f>
        <x:v>45000</x:v>
      </x:c>
      <x:c r="D294" s="2" t="str">
        <x:v>Liên tỉnh</x:v>
      </x:c>
      <x:c r="E294" s="10" t="d">
        <x:v>2026-10-27T17:00:00.000Z</x:v>
      </x:c>
      <x:c r="F294" s="10" t="d">
        <x:v>2026-10-27T16:00:00.000Z</x:v>
      </x:c>
      <x:c r="G294" s="2" t="str">
        <x:f>IF(F294&lt;=E294,"Đúng hẹn","Trễ hẹn")</x:f>
        <x:v>Đúng hẹn</x:v>
      </x:c>
    </x:row>
    <x:row r="295" ht="24" customHeight="1">
      <x:c r="A295" s="11" t="str">
        <x:v>FM000294</x:v>
      </x:c>
      <x:c r="B295" s="12" t="str">
        <x:f>TRIM(CLEAN(SUBSTITUTE(A295,CHAR(160)," ")))</x:f>
        <x:v>FM000294</x:v>
      </x:c>
      <x:c r="C295" s="14" t="n">
        <x:f>IF(B295="","Thiếu mã",IFERROR(VLOOKUP(B295,'GiaCuoc'!$A$2:$B$501,2,FALSE),"Cần kiểm tra mã"))</x:f>
        <x:v>45000</x:v>
      </x:c>
      <x:c r="D295" s="2" t="str">
        <x:v>Liên tỉnh</x:v>
      </x:c>
      <x:c r="E295" s="10" t="d">
        <x:v>2026-10-27T17:00:00.000Z</x:v>
      </x:c>
      <x:c r="F295" s="10" t="d">
        <x:v>2026-10-27T16:00:00.000Z</x:v>
      </x:c>
      <x:c r="G295" s="2" t="str">
        <x:f>IF(F295&lt;=E295,"Đúng hẹn","Trễ hẹn")</x:f>
        <x:v>Đúng hẹn</x:v>
      </x:c>
    </x:row>
    <x:row r="296" ht="24" customHeight="1">
      <x:c r="A296" s="11" t="str">
        <x:v>FM000295</x:v>
      </x:c>
      <x:c r="B296" s="12" t="str">
        <x:f>TRIM(CLEAN(SUBSTITUTE(A296,CHAR(160)," ")))</x:f>
        <x:v>FM000295</x:v>
      </x:c>
      <x:c r="C296" s="14" t="n">
        <x:f>IF(B296="","Thiếu mã",IFERROR(VLOOKUP(B296,'GiaCuoc'!$A$2:$B$501,2,FALSE),"Cần kiểm tra mã"))</x:f>
        <x:v>45000</x:v>
      </x:c>
      <x:c r="D296" s="2" t="str">
        <x:v>Liên tỉnh</x:v>
      </x:c>
      <x:c r="E296" s="10" t="d">
        <x:v>2026-10-27T17:00:00.000Z</x:v>
      </x:c>
      <x:c r="F296" s="10" t="d">
        <x:v>2026-10-27T16:00:00.000Z</x:v>
      </x:c>
      <x:c r="G296" s="2" t="str">
        <x:f>IF(F296&lt;=E296,"Đúng hẹn","Trễ hẹn")</x:f>
        <x:v>Đúng hẹn</x:v>
      </x:c>
    </x:row>
    <x:row r="297" ht="24" customHeight="1">
      <x:c r="A297" s="11" t="str">
        <x:v>FM000296</x:v>
      </x:c>
      <x:c r="B297" s="12" t="str">
        <x:f>TRIM(CLEAN(SUBSTITUTE(A297,CHAR(160)," ")))</x:f>
        <x:v>FM000296</x:v>
      </x:c>
      <x:c r="C297" s="14" t="n">
        <x:f>IF(B297="","Thiếu mã",IFERROR(VLOOKUP(B297,'GiaCuoc'!$A$2:$B$501,2,FALSE),"Cần kiểm tra mã"))</x:f>
        <x:v>45000</x:v>
      </x:c>
      <x:c r="D297" s="2" t="str">
        <x:v>Liên tỉnh</x:v>
      </x:c>
      <x:c r="E297" s="10" t="d">
        <x:v>2026-10-27T17:00:00.000Z</x:v>
      </x:c>
      <x:c r="F297" s="10" t="d">
        <x:v>2026-10-27T16:00:00.000Z</x:v>
      </x:c>
      <x:c r="G297" s="2" t="str">
        <x:f>IF(F297&lt;=E297,"Đúng hẹn","Trễ hẹn")</x:f>
        <x:v>Đúng hẹn</x:v>
      </x:c>
    </x:row>
    <x:row r="298" ht="24" customHeight="1">
      <x:c r="A298" s="11" t="str">
        <x:v>FM000297</x:v>
      </x:c>
      <x:c r="B298" s="12" t="str">
        <x:f>TRIM(CLEAN(SUBSTITUTE(A298,CHAR(160)," ")))</x:f>
        <x:v>FM000297</x:v>
      </x:c>
      <x:c r="C298" s="14" t="n">
        <x:f>IF(B298="","Thiếu mã",IFERROR(VLOOKUP(B298,'GiaCuoc'!$A$2:$B$501,2,FALSE),"Cần kiểm tra mã"))</x:f>
        <x:v>45000</x:v>
      </x:c>
      <x:c r="D298" s="2" t="str">
        <x:v>Liên tỉnh</x:v>
      </x:c>
      <x:c r="E298" s="10" t="d">
        <x:v>2026-10-27T17:00:00.000Z</x:v>
      </x:c>
      <x:c r="F298" s="10" t="d">
        <x:v>2026-10-27T16:00:00.000Z</x:v>
      </x:c>
      <x:c r="G298" s="2" t="str">
        <x:f>IF(F298&lt;=E298,"Đúng hẹn","Trễ hẹn")</x:f>
        <x:v>Đúng hẹn</x:v>
      </x:c>
    </x:row>
    <x:row r="299" ht="24" customHeight="1">
      <x:c r="A299" s="11" t="str">
        <x:v>FM000298</x:v>
      </x:c>
      <x:c r="B299" s="12" t="str">
        <x:f>TRIM(CLEAN(SUBSTITUTE(A299,CHAR(160)," ")))</x:f>
        <x:v>FM000298</x:v>
      </x:c>
      <x:c r="C299" s="14" t="n">
        <x:f>IF(B299="","Thiếu mã",IFERROR(VLOOKUP(B299,'GiaCuoc'!$A$2:$B$501,2,FALSE),"Cần kiểm tra mã"))</x:f>
        <x:v>45000</x:v>
      </x:c>
      <x:c r="D299" s="2" t="str">
        <x:v>Liên tỉnh</x:v>
      </x:c>
      <x:c r="E299" s="10" t="d">
        <x:v>2026-10-27T17:00:00.000Z</x:v>
      </x:c>
      <x:c r="F299" s="10" t="d">
        <x:v>2026-10-27T16:00:00.000Z</x:v>
      </x:c>
      <x:c r="G299" s="2" t="str">
        <x:f>IF(F299&lt;=E299,"Đúng hẹn","Trễ hẹn")</x:f>
        <x:v>Đúng hẹn</x:v>
      </x:c>
    </x:row>
    <x:row r="300" ht="24" customHeight="1">
      <x:c r="A300" s="11" t="str">
        <x:v>FM000299</x:v>
      </x:c>
      <x:c r="B300" s="12" t="str">
        <x:f>TRIM(CLEAN(SUBSTITUTE(A300,CHAR(160)," ")))</x:f>
        <x:v>FM000299</x:v>
      </x:c>
      <x:c r="C300" s="14" t="n">
        <x:f>IF(B300="","Thiếu mã",IFERROR(VLOOKUP(B300,'GiaCuoc'!$A$2:$B$501,2,FALSE),"Cần kiểm tra mã"))</x:f>
        <x:v>45000</x:v>
      </x:c>
      <x:c r="D300" s="2" t="str">
        <x:v>Liên tỉnh</x:v>
      </x:c>
      <x:c r="E300" s="10" t="d">
        <x:v>2026-10-27T17:00:00.000Z</x:v>
      </x:c>
      <x:c r="F300" s="10" t="d">
        <x:v>2026-10-27T16:00:00.000Z</x:v>
      </x:c>
      <x:c r="G300" s="2" t="str">
        <x:f>IF(F300&lt;=E300,"Đúng hẹn","Trễ hẹn")</x:f>
        <x:v>Đúng hẹn</x:v>
      </x:c>
    </x:row>
    <x:row r="301" ht="24" customHeight="1">
      <x:c r="A301" s="11" t="str">
        <x:v>FM000300</x:v>
      </x:c>
      <x:c r="B301" s="12" t="str">
        <x:f>TRIM(CLEAN(SUBSTITUTE(A301,CHAR(160)," ")))</x:f>
        <x:v>FM000300</x:v>
      </x:c>
      <x:c r="C301" s="14" t="n">
        <x:f>IF(B301="","Thiếu mã",IFERROR(VLOOKUP(B301,'GiaCuoc'!$A$2:$B$501,2,FALSE),"Cần kiểm tra mã"))</x:f>
        <x:v>45000</x:v>
      </x:c>
      <x:c r="D301" s="2" t="str">
        <x:v>Liên tỉnh</x:v>
      </x:c>
      <x:c r="E301" s="10" t="d">
        <x:v>2026-10-27T17:00:00.000Z</x:v>
      </x:c>
      <x:c r="F301" s="10" t="d">
        <x:v>2026-10-27T16:00:00.000Z</x:v>
      </x:c>
      <x:c r="G301" s="2" t="str">
        <x:f>IF(F301&lt;=E301,"Đúng hẹn","Trễ hẹn")</x:f>
        <x:v>Đúng hẹn</x:v>
      </x:c>
    </x:row>
    <x:row r="302" ht="24" customHeight="1">
      <x:c r="A302" s="11" t="str">
        <x:v>FM000301</x:v>
      </x:c>
      <x:c r="B302" s="12" t="str">
        <x:f>TRIM(CLEAN(SUBSTITUTE(A302,CHAR(160)," ")))</x:f>
        <x:v>FM000301</x:v>
      </x:c>
      <x:c r="C302" s="14" t="n">
        <x:f>IF(B302="","Thiếu mã",IFERROR(VLOOKUP(B302,'GiaCuoc'!$A$2:$B$501,2,FALSE),"Cần kiểm tra mã"))</x:f>
        <x:v>45000</x:v>
      </x:c>
      <x:c r="D302" s="2" t="str">
        <x:v>Liên tỉnh</x:v>
      </x:c>
      <x:c r="E302" s="10" t="d">
        <x:v>2026-10-27T17:00:00.000Z</x:v>
      </x:c>
      <x:c r="F302" s="10" t="d">
        <x:v>2026-10-27T16:00:00.000Z</x:v>
      </x:c>
      <x:c r="G302" s="2" t="str">
        <x:f>IF(F302&lt;=E302,"Đúng hẹn","Trễ hẹn")</x:f>
        <x:v>Đúng hẹn</x:v>
      </x:c>
    </x:row>
    <x:row r="303" ht="24" customHeight="1">
      <x:c r="A303" s="11" t="str">
        <x:v>FM000302</x:v>
      </x:c>
      <x:c r="B303" s="12" t="str">
        <x:f>TRIM(CLEAN(SUBSTITUTE(A303,CHAR(160)," ")))</x:f>
        <x:v>FM000302</x:v>
      </x:c>
      <x:c r="C303" s="14" t="n">
        <x:f>IF(B303="","Thiếu mã",IFERROR(VLOOKUP(B303,'GiaCuoc'!$A$2:$B$501,2,FALSE),"Cần kiểm tra mã"))</x:f>
        <x:v>45000</x:v>
      </x:c>
      <x:c r="D303" s="2" t="str">
        <x:v>Liên tỉnh</x:v>
      </x:c>
      <x:c r="E303" s="10" t="d">
        <x:v>2026-10-27T17:00:00.000Z</x:v>
      </x:c>
      <x:c r="F303" s="10" t="d">
        <x:v>2026-10-27T16:00:00.000Z</x:v>
      </x:c>
      <x:c r="G303" s="2" t="str">
        <x:f>IF(F303&lt;=E303,"Đúng hẹn","Trễ hẹn")</x:f>
        <x:v>Đúng hẹn</x:v>
      </x:c>
    </x:row>
    <x:row r="304" ht="24" customHeight="1">
      <x:c r="A304" s="11" t="str">
        <x:v>FM000303</x:v>
      </x:c>
      <x:c r="B304" s="12" t="str">
        <x:f>TRIM(CLEAN(SUBSTITUTE(A304,CHAR(160)," ")))</x:f>
        <x:v>FM000303</x:v>
      </x:c>
      <x:c r="C304" s="14" t="n">
        <x:f>IF(B304="","Thiếu mã",IFERROR(VLOOKUP(B304,'GiaCuoc'!$A$2:$B$501,2,FALSE),"Cần kiểm tra mã"))</x:f>
        <x:v>45000</x:v>
      </x:c>
      <x:c r="D304" s="2" t="str">
        <x:v>Liên tỉnh</x:v>
      </x:c>
      <x:c r="E304" s="10" t="d">
        <x:v>2026-10-27T17:00:00.000Z</x:v>
      </x:c>
      <x:c r="F304" s="10" t="d">
        <x:v>2026-10-27T16:00:00.000Z</x:v>
      </x:c>
      <x:c r="G304" s="2" t="str">
        <x:f>IF(F304&lt;=E304,"Đúng hẹn","Trễ hẹn")</x:f>
        <x:v>Đúng hẹn</x:v>
      </x:c>
    </x:row>
    <x:row r="305" ht="24" customHeight="1">
      <x:c r="A305" s="11" t="str">
        <x:v>FM000304</x:v>
      </x:c>
      <x:c r="B305" s="12" t="str">
        <x:f>TRIM(CLEAN(SUBSTITUTE(A305,CHAR(160)," ")))</x:f>
        <x:v>FM000304</x:v>
      </x:c>
      <x:c r="C305" s="14" t="n">
        <x:f>IF(B305="","Thiếu mã",IFERROR(VLOOKUP(B305,'GiaCuoc'!$A$2:$B$501,2,FALSE),"Cần kiểm tra mã"))</x:f>
        <x:v>45000</x:v>
      </x:c>
      <x:c r="D305" s="2" t="str">
        <x:v>Liên tỉnh</x:v>
      </x:c>
      <x:c r="E305" s="10" t="d">
        <x:v>2026-10-27T17:00:00.000Z</x:v>
      </x:c>
      <x:c r="F305" s="10" t="d">
        <x:v>2026-10-27T16:00:00.000Z</x:v>
      </x:c>
      <x:c r="G305" s="2" t="str">
        <x:f>IF(F305&lt;=E305,"Đúng hẹn","Trễ hẹn")</x:f>
        <x:v>Đúng hẹn</x:v>
      </x:c>
    </x:row>
    <x:row r="306" ht="24" customHeight="1">
      <x:c r="A306" s="11" t="str">
        <x:v>FM000305</x:v>
      </x:c>
      <x:c r="B306" s="12" t="str">
        <x:f>TRIM(CLEAN(SUBSTITUTE(A306,CHAR(160)," ")))</x:f>
        <x:v>FM000305</x:v>
      </x:c>
      <x:c r="C306" s="14" t="n">
        <x:f>IF(B306="","Thiếu mã",IFERROR(VLOOKUP(B306,'GiaCuoc'!$A$2:$B$501,2,FALSE),"Cần kiểm tra mã"))</x:f>
        <x:v>45000</x:v>
      </x:c>
      <x:c r="D306" s="2" t="str">
        <x:v>Liên tỉnh</x:v>
      </x:c>
      <x:c r="E306" s="10" t="d">
        <x:v>2026-10-27T17:00:00.000Z</x:v>
      </x:c>
      <x:c r="F306" s="10" t="d">
        <x:v>2026-10-27T16:00:00.000Z</x:v>
      </x:c>
      <x:c r="G306" s="2" t="str">
        <x:f>IF(F306&lt;=E306,"Đúng hẹn","Trễ hẹn")</x:f>
        <x:v>Đúng hẹn</x:v>
      </x:c>
    </x:row>
    <x:row r="307" ht="24" customHeight="1">
      <x:c r="A307" s="11" t="str">
        <x:v>FM000306</x:v>
      </x:c>
      <x:c r="B307" s="12" t="str">
        <x:f>TRIM(CLEAN(SUBSTITUTE(A307,CHAR(160)," ")))</x:f>
        <x:v>FM000306</x:v>
      </x:c>
      <x:c r="C307" s="14" t="n">
        <x:f>IF(B307="","Thiếu mã",IFERROR(VLOOKUP(B307,'GiaCuoc'!$A$2:$B$501,2,FALSE),"Cần kiểm tra mã"))</x:f>
        <x:v>45000</x:v>
      </x:c>
      <x:c r="D307" s="2" t="str">
        <x:v>Liên tỉnh</x:v>
      </x:c>
      <x:c r="E307" s="10" t="d">
        <x:v>2026-10-27T17:00:00.000Z</x:v>
      </x:c>
      <x:c r="F307" s="10" t="d">
        <x:v>2026-10-27T16:00:00.000Z</x:v>
      </x:c>
      <x:c r="G307" s="2" t="str">
        <x:f>IF(F307&lt;=E307,"Đúng hẹn","Trễ hẹn")</x:f>
        <x:v>Đúng hẹn</x:v>
      </x:c>
    </x:row>
    <x:row r="308" ht="24" customHeight="1">
      <x:c r="A308" s="11" t="str">
        <x:v>FM000307</x:v>
      </x:c>
      <x:c r="B308" s="12" t="str">
        <x:f>TRIM(CLEAN(SUBSTITUTE(A308,CHAR(160)," ")))</x:f>
        <x:v>FM000307</x:v>
      </x:c>
      <x:c r="C308" s="14" t="n">
        <x:f>IF(B308="","Thiếu mã",IFERROR(VLOOKUP(B308,'GiaCuoc'!$A$2:$B$501,2,FALSE),"Cần kiểm tra mã"))</x:f>
        <x:v>45000</x:v>
      </x:c>
      <x:c r="D308" s="2" t="str">
        <x:v>Liên tỉnh</x:v>
      </x:c>
      <x:c r="E308" s="10" t="d">
        <x:v>2026-10-27T17:00:00.000Z</x:v>
      </x:c>
      <x:c r="F308" s="10" t="d">
        <x:v>2026-10-27T16:00:00.000Z</x:v>
      </x:c>
      <x:c r="G308" s="2" t="str">
        <x:f>IF(F308&lt;=E308,"Đúng hẹn","Trễ hẹn")</x:f>
        <x:v>Đúng hẹn</x:v>
      </x:c>
    </x:row>
    <x:row r="309" ht="24" customHeight="1">
      <x:c r="A309" s="11" t="str">
        <x:v>FM000308</x:v>
      </x:c>
      <x:c r="B309" s="12" t="str">
        <x:f>TRIM(CLEAN(SUBSTITUTE(A309,CHAR(160)," ")))</x:f>
        <x:v>FM000308</x:v>
      </x:c>
      <x:c r="C309" s="14" t="n">
        <x:f>IF(B309="","Thiếu mã",IFERROR(VLOOKUP(B309,'GiaCuoc'!$A$2:$B$501,2,FALSE),"Cần kiểm tra mã"))</x:f>
        <x:v>45000</x:v>
      </x:c>
      <x:c r="D309" s="2" t="str">
        <x:v>Liên tỉnh</x:v>
      </x:c>
      <x:c r="E309" s="10" t="d">
        <x:v>2026-10-27T17:00:00.000Z</x:v>
      </x:c>
      <x:c r="F309" s="10" t="d">
        <x:v>2026-10-27T16:00:00.000Z</x:v>
      </x:c>
      <x:c r="G309" s="2" t="str">
        <x:f>IF(F309&lt;=E309,"Đúng hẹn","Trễ hẹn")</x:f>
        <x:v>Đúng hẹn</x:v>
      </x:c>
    </x:row>
    <x:row r="310" ht="24" customHeight="1">
      <x:c r="A310" s="11" t="str">
        <x:v>FM000309</x:v>
      </x:c>
      <x:c r="B310" s="12" t="str">
        <x:f>TRIM(CLEAN(SUBSTITUTE(A310,CHAR(160)," ")))</x:f>
        <x:v>FM000309</x:v>
      </x:c>
      <x:c r="C310" s="14" t="n">
        <x:f>IF(B310="","Thiếu mã",IFERROR(VLOOKUP(B310,'GiaCuoc'!$A$2:$B$501,2,FALSE),"Cần kiểm tra mã"))</x:f>
        <x:v>45000</x:v>
      </x:c>
      <x:c r="D310" s="2" t="str">
        <x:v>Liên tỉnh</x:v>
      </x:c>
      <x:c r="E310" s="10" t="d">
        <x:v>2026-10-27T17:00:00.000Z</x:v>
      </x:c>
      <x:c r="F310" s="10" t="d">
        <x:v>2026-10-27T16:00:00.000Z</x:v>
      </x:c>
      <x:c r="G310" s="2" t="str">
        <x:f>IF(F310&lt;=E310,"Đúng hẹn","Trễ hẹn")</x:f>
        <x:v>Đúng hẹn</x:v>
      </x:c>
    </x:row>
    <x:row r="311" ht="24" customHeight="1">
      <x:c r="A311" s="11" t="str">
        <x:v>FM000310</x:v>
      </x:c>
      <x:c r="B311" s="12" t="str">
        <x:f>TRIM(CLEAN(SUBSTITUTE(A311,CHAR(160)," ")))</x:f>
        <x:v>FM000310</x:v>
      </x:c>
      <x:c r="C311" s="14" t="n">
        <x:f>IF(B311="","Thiếu mã",IFERROR(VLOOKUP(B311,'GiaCuoc'!$A$2:$B$501,2,FALSE),"Cần kiểm tra mã"))</x:f>
        <x:v>45000</x:v>
      </x:c>
      <x:c r="D311" s="2" t="str">
        <x:v>Liên tỉnh</x:v>
      </x:c>
      <x:c r="E311" s="10" t="d">
        <x:v>2026-10-27T17:00:00.000Z</x:v>
      </x:c>
      <x:c r="F311" s="10" t="d">
        <x:v>2026-10-27T16:00:00.000Z</x:v>
      </x:c>
      <x:c r="G311" s="2" t="str">
        <x:f>IF(F311&lt;=E311,"Đúng hẹn","Trễ hẹn")</x:f>
        <x:v>Đúng hẹn</x:v>
      </x:c>
    </x:row>
    <x:row r="312" ht="24" customHeight="1">
      <x:c r="A312" s="11" t="str">
        <x:v>FM000311</x:v>
      </x:c>
      <x:c r="B312" s="12" t="str">
        <x:f>TRIM(CLEAN(SUBSTITUTE(A312,CHAR(160)," ")))</x:f>
        <x:v>FM000311</x:v>
      </x:c>
      <x:c r="C312" s="14" t="n">
        <x:f>IF(B312="","Thiếu mã",IFERROR(VLOOKUP(B312,'GiaCuoc'!$A$2:$B$501,2,FALSE),"Cần kiểm tra mã"))</x:f>
        <x:v>45000</x:v>
      </x:c>
      <x:c r="D312" s="2" t="str">
        <x:v>Liên tỉnh</x:v>
      </x:c>
      <x:c r="E312" s="10" t="d">
        <x:v>2026-10-27T17:00:00.000Z</x:v>
      </x:c>
      <x:c r="F312" s="10" t="d">
        <x:v>2026-10-27T16:00:00.000Z</x:v>
      </x:c>
      <x:c r="G312" s="2" t="str">
        <x:f>IF(F312&lt;=E312,"Đúng hẹn","Trễ hẹn")</x:f>
        <x:v>Đúng hẹn</x:v>
      </x:c>
    </x:row>
    <x:row r="313" ht="24" customHeight="1">
      <x:c r="A313" s="11" t="str">
        <x:v>FM000312</x:v>
      </x:c>
      <x:c r="B313" s="12" t="str">
        <x:f>TRIM(CLEAN(SUBSTITUTE(A313,CHAR(160)," ")))</x:f>
        <x:v>FM000312</x:v>
      </x:c>
      <x:c r="C313" s="14" t="n">
        <x:f>IF(B313="","Thiếu mã",IFERROR(VLOOKUP(B313,'GiaCuoc'!$A$2:$B$501,2,FALSE),"Cần kiểm tra mã"))</x:f>
        <x:v>45000</x:v>
      </x:c>
      <x:c r="D313" s="2" t="str">
        <x:v>Liên tỉnh</x:v>
      </x:c>
      <x:c r="E313" s="10" t="d">
        <x:v>2026-10-27T17:00:00.000Z</x:v>
      </x:c>
      <x:c r="F313" s="10" t="d">
        <x:v>2026-10-27T16:00:00.000Z</x:v>
      </x:c>
      <x:c r="G313" s="2" t="str">
        <x:f>IF(F313&lt;=E313,"Đúng hẹn","Trễ hẹn")</x:f>
        <x:v>Đúng hẹn</x:v>
      </x:c>
    </x:row>
    <x:row r="314" ht="24" customHeight="1">
      <x:c r="A314" s="11" t="str">
        <x:v>FM000313</x:v>
      </x:c>
      <x:c r="B314" s="12" t="str">
        <x:f>TRIM(CLEAN(SUBSTITUTE(A314,CHAR(160)," ")))</x:f>
        <x:v>FM000313</x:v>
      </x:c>
      <x:c r="C314" s="14" t="n">
        <x:f>IF(B314="","Thiếu mã",IFERROR(VLOOKUP(B314,'GiaCuoc'!$A$2:$B$501,2,FALSE),"Cần kiểm tra mã"))</x:f>
        <x:v>45000</x:v>
      </x:c>
      <x:c r="D314" s="2" t="str">
        <x:v>Liên tỉnh</x:v>
      </x:c>
      <x:c r="E314" s="10" t="d">
        <x:v>2026-10-27T17:00:00.000Z</x:v>
      </x:c>
      <x:c r="F314" s="10" t="d">
        <x:v>2026-10-27T16:00:00.000Z</x:v>
      </x:c>
      <x:c r="G314" s="2" t="str">
        <x:f>IF(F314&lt;=E314,"Đúng hẹn","Trễ hẹn")</x:f>
        <x:v>Đúng hẹn</x:v>
      </x:c>
    </x:row>
    <x:row r="315" ht="24" customHeight="1">
      <x:c r="A315" s="11" t="str">
        <x:v>FM000314</x:v>
      </x:c>
      <x:c r="B315" s="12" t="str">
        <x:f>TRIM(CLEAN(SUBSTITUTE(A315,CHAR(160)," ")))</x:f>
        <x:v>FM000314</x:v>
      </x:c>
      <x:c r="C315" s="14" t="n">
        <x:f>IF(B315="","Thiếu mã",IFERROR(VLOOKUP(B315,'GiaCuoc'!$A$2:$B$501,2,FALSE),"Cần kiểm tra mã"))</x:f>
        <x:v>45000</x:v>
      </x:c>
      <x:c r="D315" s="2" t="str">
        <x:v>Liên tỉnh</x:v>
      </x:c>
      <x:c r="E315" s="10" t="d">
        <x:v>2026-10-27T17:00:00.000Z</x:v>
      </x:c>
      <x:c r="F315" s="10" t="d">
        <x:v>2026-10-27T16:00:00.000Z</x:v>
      </x:c>
      <x:c r="G315" s="2" t="str">
        <x:f>IF(F315&lt;=E315,"Đúng hẹn","Trễ hẹn")</x:f>
        <x:v>Đúng hẹn</x:v>
      </x:c>
    </x:row>
    <x:row r="316" ht="24" customHeight="1">
      <x:c r="A316" s="11" t="str">
        <x:v>FM000315</x:v>
      </x:c>
      <x:c r="B316" s="12" t="str">
        <x:f>TRIM(CLEAN(SUBSTITUTE(A316,CHAR(160)," ")))</x:f>
        <x:v>FM000315</x:v>
      </x:c>
      <x:c r="C316" s="14" t="n">
        <x:f>IF(B316="","Thiếu mã",IFERROR(VLOOKUP(B316,'GiaCuoc'!$A$2:$B$501,2,FALSE),"Cần kiểm tra mã"))</x:f>
        <x:v>45000</x:v>
      </x:c>
      <x:c r="D316" s="2" t="str">
        <x:v>Liên tỉnh</x:v>
      </x:c>
      <x:c r="E316" s="10" t="d">
        <x:v>2026-10-27T17:00:00.000Z</x:v>
      </x:c>
      <x:c r="F316" s="10" t="d">
        <x:v>2026-10-27T16:00:00.000Z</x:v>
      </x:c>
      <x:c r="G316" s="2" t="str">
        <x:f>IF(F316&lt;=E316,"Đúng hẹn","Trễ hẹn")</x:f>
        <x:v>Đúng hẹn</x:v>
      </x:c>
    </x:row>
    <x:row r="317" ht="24" customHeight="1">
      <x:c r="A317" s="11" t="str">
        <x:v>FM000316</x:v>
      </x:c>
      <x:c r="B317" s="12" t="str">
        <x:f>TRIM(CLEAN(SUBSTITUTE(A317,CHAR(160)," ")))</x:f>
        <x:v>FM000316</x:v>
      </x:c>
      <x:c r="C317" s="14" t="n">
        <x:f>IF(B317="","Thiếu mã",IFERROR(VLOOKUP(B317,'GiaCuoc'!$A$2:$B$501,2,FALSE),"Cần kiểm tra mã"))</x:f>
        <x:v>45000</x:v>
      </x:c>
      <x:c r="D317" s="2" t="str">
        <x:v>Liên tỉnh</x:v>
      </x:c>
      <x:c r="E317" s="10" t="d">
        <x:v>2026-10-27T17:00:00.000Z</x:v>
      </x:c>
      <x:c r="F317" s="10" t="d">
        <x:v>2026-10-27T16:00:00.000Z</x:v>
      </x:c>
      <x:c r="G317" s="2" t="str">
        <x:f>IF(F317&lt;=E317,"Đúng hẹn","Trễ hẹn")</x:f>
        <x:v>Đúng hẹn</x:v>
      </x:c>
    </x:row>
    <x:row r="318" ht="24" customHeight="1">
      <x:c r="A318" s="11" t="str">
        <x:v>FM000317</x:v>
      </x:c>
      <x:c r="B318" s="12" t="str">
        <x:f>TRIM(CLEAN(SUBSTITUTE(A318,CHAR(160)," ")))</x:f>
        <x:v>FM000317</x:v>
      </x:c>
      <x:c r="C318" s="14" t="n">
        <x:f>IF(B318="","Thiếu mã",IFERROR(VLOOKUP(B318,'GiaCuoc'!$A$2:$B$501,2,FALSE),"Cần kiểm tra mã"))</x:f>
        <x:v>45000</x:v>
      </x:c>
      <x:c r="D318" s="2" t="str">
        <x:v>Liên tỉnh</x:v>
      </x:c>
      <x:c r="E318" s="10" t="d">
        <x:v>2026-10-27T17:00:00.000Z</x:v>
      </x:c>
      <x:c r="F318" s="10" t="d">
        <x:v>2026-10-27T16:00:00.000Z</x:v>
      </x:c>
      <x:c r="G318" s="2" t="str">
        <x:f>IF(F318&lt;=E318,"Đúng hẹn","Trễ hẹn")</x:f>
        <x:v>Đúng hẹn</x:v>
      </x:c>
    </x:row>
    <x:row r="319" ht="24" customHeight="1">
      <x:c r="A319" s="11" t="str">
        <x:v>FM000318</x:v>
      </x:c>
      <x:c r="B319" s="12" t="str">
        <x:f>TRIM(CLEAN(SUBSTITUTE(A319,CHAR(160)," ")))</x:f>
        <x:v>FM000318</x:v>
      </x:c>
      <x:c r="C319" s="14" t="n">
        <x:f>IF(B319="","Thiếu mã",IFERROR(VLOOKUP(B319,'GiaCuoc'!$A$2:$B$501,2,FALSE),"Cần kiểm tra mã"))</x:f>
        <x:v>45000</x:v>
      </x:c>
      <x:c r="D319" s="2" t="str">
        <x:v>Liên tỉnh</x:v>
      </x:c>
      <x:c r="E319" s="10" t="d">
        <x:v>2026-10-27T17:00:00.000Z</x:v>
      </x:c>
      <x:c r="F319" s="10" t="d">
        <x:v>2026-10-27T16:00:00.000Z</x:v>
      </x:c>
      <x:c r="G319" s="2" t="str">
        <x:f>IF(F319&lt;=E319,"Đúng hẹn","Trễ hẹn")</x:f>
        <x:v>Đúng hẹn</x:v>
      </x:c>
    </x:row>
    <x:row r="320" ht="24" customHeight="1">
      <x:c r="A320" s="11" t="str">
        <x:v>FM000319</x:v>
      </x:c>
      <x:c r="B320" s="12" t="str">
        <x:f>TRIM(CLEAN(SUBSTITUTE(A320,CHAR(160)," ")))</x:f>
        <x:v>FM000319</x:v>
      </x:c>
      <x:c r="C320" s="14" t="n">
        <x:f>IF(B320="","Thiếu mã",IFERROR(VLOOKUP(B320,'GiaCuoc'!$A$2:$B$501,2,FALSE),"Cần kiểm tra mã"))</x:f>
        <x:v>45000</x:v>
      </x:c>
      <x:c r="D320" s="2" t="str">
        <x:v>Liên tỉnh</x:v>
      </x:c>
      <x:c r="E320" s="10" t="d">
        <x:v>2026-10-27T17:00:00.000Z</x:v>
      </x:c>
      <x:c r="F320" s="10" t="d">
        <x:v>2026-10-27T16:00:00.000Z</x:v>
      </x:c>
      <x:c r="G320" s="2" t="str">
        <x:f>IF(F320&lt;=E320,"Đúng hẹn","Trễ hẹn")</x:f>
        <x:v>Đúng hẹn</x:v>
      </x:c>
    </x:row>
    <x:row r="321" ht="24" customHeight="1">
      <x:c r="A321" s="11" t="str">
        <x:v>FM000320</x:v>
      </x:c>
      <x:c r="B321" s="12" t="str">
        <x:f>TRIM(CLEAN(SUBSTITUTE(A321,CHAR(160)," ")))</x:f>
        <x:v>FM000320</x:v>
      </x:c>
      <x:c r="C321" s="14" t="n">
        <x:f>IF(B321="","Thiếu mã",IFERROR(VLOOKUP(B321,'GiaCuoc'!$A$2:$B$501,2,FALSE),"Cần kiểm tra mã"))</x:f>
        <x:v>45000</x:v>
      </x:c>
      <x:c r="D321" s="2" t="str">
        <x:v>Liên tỉnh</x:v>
      </x:c>
      <x:c r="E321" s="10" t="d">
        <x:v>2026-10-27T17:00:00.000Z</x:v>
      </x:c>
      <x:c r="F321" s="10" t="d">
        <x:v>2026-10-27T16:00:00.000Z</x:v>
      </x:c>
      <x:c r="G321" s="2" t="str">
        <x:f>IF(F321&lt;=E321,"Đúng hẹn","Trễ hẹn")</x:f>
        <x:v>Đúng hẹn</x:v>
      </x:c>
    </x:row>
    <x:row r="322" ht="24" customHeight="1">
      <x:c r="A322" s="11" t="str">
        <x:v>FM000321</x:v>
      </x:c>
      <x:c r="B322" s="12" t="str">
        <x:f>TRIM(CLEAN(SUBSTITUTE(A322,CHAR(160)," ")))</x:f>
        <x:v>FM000321</x:v>
      </x:c>
      <x:c r="C322" s="14" t="n">
        <x:f>IF(B322="","Thiếu mã",IFERROR(VLOOKUP(B322,'GiaCuoc'!$A$2:$B$501,2,FALSE),"Cần kiểm tra mã"))</x:f>
        <x:v>45000</x:v>
      </x:c>
      <x:c r="D322" s="2" t="str">
        <x:v>Liên tỉnh</x:v>
      </x:c>
      <x:c r="E322" s="10" t="d">
        <x:v>2026-10-27T17:00:00.000Z</x:v>
      </x:c>
      <x:c r="F322" s="10" t="d">
        <x:v>2026-10-27T16:00:00.000Z</x:v>
      </x:c>
      <x:c r="G322" s="2" t="str">
        <x:f>IF(F322&lt;=E322,"Đúng hẹn","Trễ hẹn")</x:f>
        <x:v>Đúng hẹn</x:v>
      </x:c>
    </x:row>
    <x:row r="323" ht="24" customHeight="1">
      <x:c r="A323" s="11" t="str">
        <x:v>FM000322</x:v>
      </x:c>
      <x:c r="B323" s="12" t="str">
        <x:f>TRIM(CLEAN(SUBSTITUTE(A323,CHAR(160)," ")))</x:f>
        <x:v>FM000322</x:v>
      </x:c>
      <x:c r="C323" s="14" t="n">
        <x:f>IF(B323="","Thiếu mã",IFERROR(VLOOKUP(B323,'GiaCuoc'!$A$2:$B$501,2,FALSE),"Cần kiểm tra mã"))</x:f>
        <x:v>45000</x:v>
      </x:c>
      <x:c r="D323" s="2" t="str">
        <x:v>Liên tỉnh</x:v>
      </x:c>
      <x:c r="E323" s="10" t="d">
        <x:v>2026-10-27T17:00:00.000Z</x:v>
      </x:c>
      <x:c r="F323" s="10" t="d">
        <x:v>2026-10-27T16:00:00.000Z</x:v>
      </x:c>
      <x:c r="G323" s="2" t="str">
        <x:f>IF(F323&lt;=E323,"Đúng hẹn","Trễ hẹn")</x:f>
        <x:v>Đúng hẹn</x:v>
      </x:c>
    </x:row>
    <x:row r="324" ht="24" customHeight="1">
      <x:c r="A324" s="11" t="str">
        <x:v>FM000323</x:v>
      </x:c>
      <x:c r="B324" s="12" t="str">
        <x:f>TRIM(CLEAN(SUBSTITUTE(A324,CHAR(160)," ")))</x:f>
        <x:v>FM000323</x:v>
      </x:c>
      <x:c r="C324" s="14" t="n">
        <x:f>IF(B324="","Thiếu mã",IFERROR(VLOOKUP(B324,'GiaCuoc'!$A$2:$B$501,2,FALSE),"Cần kiểm tra mã"))</x:f>
        <x:v>45000</x:v>
      </x:c>
      <x:c r="D324" s="2" t="str">
        <x:v>Liên tỉnh</x:v>
      </x:c>
      <x:c r="E324" s="10" t="d">
        <x:v>2026-10-27T17:00:00.000Z</x:v>
      </x:c>
      <x:c r="F324" s="10" t="d">
        <x:v>2026-10-27T16:00:00.000Z</x:v>
      </x:c>
      <x:c r="G324" s="2" t="str">
        <x:f>IF(F324&lt;=E324,"Đúng hẹn","Trễ hẹn")</x:f>
        <x:v>Đúng hẹn</x:v>
      </x:c>
    </x:row>
    <x:row r="325" ht="24" customHeight="1">
      <x:c r="A325" s="11" t="str">
        <x:v>FM000324</x:v>
      </x:c>
      <x:c r="B325" s="12" t="str">
        <x:f>TRIM(CLEAN(SUBSTITUTE(A325,CHAR(160)," ")))</x:f>
        <x:v>FM000324</x:v>
      </x:c>
      <x:c r="C325" s="14" t="n">
        <x:f>IF(B325="","Thiếu mã",IFERROR(VLOOKUP(B325,'GiaCuoc'!$A$2:$B$501,2,FALSE),"Cần kiểm tra mã"))</x:f>
        <x:v>45000</x:v>
      </x:c>
      <x:c r="D325" s="2" t="str">
        <x:v>Liên tỉnh</x:v>
      </x:c>
      <x:c r="E325" s="10" t="d">
        <x:v>2026-10-27T17:00:00.000Z</x:v>
      </x:c>
      <x:c r="F325" s="10" t="d">
        <x:v>2026-10-27T16:00:00.000Z</x:v>
      </x:c>
      <x:c r="G325" s="2" t="str">
        <x:f>IF(F325&lt;=E325,"Đúng hẹn","Trễ hẹn")</x:f>
        <x:v>Đúng hẹn</x:v>
      </x:c>
    </x:row>
    <x:row r="326" ht="24" customHeight="1">
      <x:c r="A326" s="11" t="str">
        <x:v>FM000325</x:v>
      </x:c>
      <x:c r="B326" s="12" t="str">
        <x:f>TRIM(CLEAN(SUBSTITUTE(A326,CHAR(160)," ")))</x:f>
        <x:v>FM000325</x:v>
      </x:c>
      <x:c r="C326" s="14" t="n">
        <x:f>IF(B326="","Thiếu mã",IFERROR(VLOOKUP(B326,'GiaCuoc'!$A$2:$B$501,2,FALSE),"Cần kiểm tra mã"))</x:f>
        <x:v>45000</x:v>
      </x:c>
      <x:c r="D326" s="2" t="str">
        <x:v>Liên tỉnh</x:v>
      </x:c>
      <x:c r="E326" s="10" t="d">
        <x:v>2026-10-27T17:00:00.000Z</x:v>
      </x:c>
      <x:c r="F326" s="10" t="d">
        <x:v>2026-10-27T16:00:00.000Z</x:v>
      </x:c>
      <x:c r="G326" s="2" t="str">
        <x:f>IF(F326&lt;=E326,"Đúng hẹn","Trễ hẹn")</x:f>
        <x:v>Đúng hẹn</x:v>
      </x:c>
    </x:row>
    <x:row r="327" ht="24" customHeight="1">
      <x:c r="A327" s="11" t="str">
        <x:v>FM000326</x:v>
      </x:c>
      <x:c r="B327" s="12" t="str">
        <x:f>TRIM(CLEAN(SUBSTITUTE(A327,CHAR(160)," ")))</x:f>
        <x:v>FM000326</x:v>
      </x:c>
      <x:c r="C327" s="14" t="n">
        <x:f>IF(B327="","Thiếu mã",IFERROR(VLOOKUP(B327,'GiaCuoc'!$A$2:$B$501,2,FALSE),"Cần kiểm tra mã"))</x:f>
        <x:v>45000</x:v>
      </x:c>
      <x:c r="D327" s="2" t="str">
        <x:v>Liên tỉnh</x:v>
      </x:c>
      <x:c r="E327" s="10" t="d">
        <x:v>2026-10-27T17:00:00.000Z</x:v>
      </x:c>
      <x:c r="F327" s="10" t="d">
        <x:v>2026-10-27T16:00:00.000Z</x:v>
      </x:c>
      <x:c r="G327" s="2" t="str">
        <x:f>IF(F327&lt;=E327,"Đúng hẹn","Trễ hẹn")</x:f>
        <x:v>Đúng hẹn</x:v>
      </x:c>
    </x:row>
    <x:row r="328" ht="24" customHeight="1">
      <x:c r="A328" s="11" t="str">
        <x:v>FM000327</x:v>
      </x:c>
      <x:c r="B328" s="12" t="str">
        <x:f>TRIM(CLEAN(SUBSTITUTE(A328,CHAR(160)," ")))</x:f>
        <x:v>FM000327</x:v>
      </x:c>
      <x:c r="C328" s="14" t="n">
        <x:f>IF(B328="","Thiếu mã",IFERROR(VLOOKUP(B328,'GiaCuoc'!$A$2:$B$501,2,FALSE),"Cần kiểm tra mã"))</x:f>
        <x:v>45000</x:v>
      </x:c>
      <x:c r="D328" s="2" t="str">
        <x:v>Liên tỉnh</x:v>
      </x:c>
      <x:c r="E328" s="10" t="d">
        <x:v>2026-10-27T17:00:00.000Z</x:v>
      </x:c>
      <x:c r="F328" s="10" t="d">
        <x:v>2026-10-27T16:00:00.000Z</x:v>
      </x:c>
      <x:c r="G328" s="2" t="str">
        <x:f>IF(F328&lt;=E328,"Đúng hẹn","Trễ hẹn")</x:f>
        <x:v>Đúng hẹn</x:v>
      </x:c>
    </x:row>
    <x:row r="329" ht="24" customHeight="1">
      <x:c r="A329" s="11" t="str">
        <x:v>FM000328</x:v>
      </x:c>
      <x:c r="B329" s="12" t="str">
        <x:f>TRIM(CLEAN(SUBSTITUTE(A329,CHAR(160)," ")))</x:f>
        <x:v>FM000328</x:v>
      </x:c>
      <x:c r="C329" s="14" t="n">
        <x:f>IF(B329="","Thiếu mã",IFERROR(VLOOKUP(B329,'GiaCuoc'!$A$2:$B$501,2,FALSE),"Cần kiểm tra mã"))</x:f>
        <x:v>45000</x:v>
      </x:c>
      <x:c r="D329" s="2" t="str">
        <x:v>Liên tỉnh</x:v>
      </x:c>
      <x:c r="E329" s="10" t="d">
        <x:v>2026-10-27T17:00:00.000Z</x:v>
      </x:c>
      <x:c r="F329" s="10" t="d">
        <x:v>2026-10-27T16:00:00.000Z</x:v>
      </x:c>
      <x:c r="G329" s="2" t="str">
        <x:f>IF(F329&lt;=E329,"Đúng hẹn","Trễ hẹn")</x:f>
        <x:v>Đúng hẹn</x:v>
      </x:c>
    </x:row>
    <x:row r="330" ht="24" customHeight="1">
      <x:c r="A330" s="11" t="str">
        <x:v>FM000329</x:v>
      </x:c>
      <x:c r="B330" s="12" t="str">
        <x:f>TRIM(CLEAN(SUBSTITUTE(A330,CHAR(160)," ")))</x:f>
        <x:v>FM000329</x:v>
      </x:c>
      <x:c r="C330" s="14" t="n">
        <x:f>IF(B330="","Thiếu mã",IFERROR(VLOOKUP(B330,'GiaCuoc'!$A$2:$B$501,2,FALSE),"Cần kiểm tra mã"))</x:f>
        <x:v>45000</x:v>
      </x:c>
      <x:c r="D330" s="2" t="str">
        <x:v>Liên tỉnh</x:v>
      </x:c>
      <x:c r="E330" s="10" t="d">
        <x:v>2026-10-27T17:00:00.000Z</x:v>
      </x:c>
      <x:c r="F330" s="10" t="d">
        <x:v>2026-10-27T16:00:00.000Z</x:v>
      </x:c>
      <x:c r="G330" s="2" t="str">
        <x:f>IF(F330&lt;=E330,"Đúng hẹn","Trễ hẹn")</x:f>
        <x:v>Đúng hẹn</x:v>
      </x:c>
    </x:row>
    <x:row r="331" ht="24" customHeight="1">
      <x:c r="A331" s="11" t="str">
        <x:v>FM000330</x:v>
      </x:c>
      <x:c r="B331" s="12" t="str">
        <x:f>TRIM(CLEAN(SUBSTITUTE(A331,CHAR(160)," ")))</x:f>
        <x:v>FM000330</x:v>
      </x:c>
      <x:c r="C331" s="14" t="n">
        <x:f>IF(B331="","Thiếu mã",IFERROR(VLOOKUP(B331,'GiaCuoc'!$A$2:$B$501,2,FALSE),"Cần kiểm tra mã"))</x:f>
        <x:v>45000</x:v>
      </x:c>
      <x:c r="D331" s="2" t="str">
        <x:v>Liên tỉnh</x:v>
      </x:c>
      <x:c r="E331" s="10" t="d">
        <x:v>2026-10-27T17:00:00.000Z</x:v>
      </x:c>
      <x:c r="F331" s="10" t="d">
        <x:v>2026-10-27T16:00:00.000Z</x:v>
      </x:c>
      <x:c r="G331" s="2" t="str">
        <x:f>IF(F331&lt;=E331,"Đúng hẹn","Trễ hẹn")</x:f>
        <x:v>Đúng hẹn</x:v>
      </x:c>
    </x:row>
    <x:row r="332" ht="24" customHeight="1">
      <x:c r="A332" s="11" t="str">
        <x:v>FM000331</x:v>
      </x:c>
      <x:c r="B332" s="12" t="str">
        <x:f>TRIM(CLEAN(SUBSTITUTE(A332,CHAR(160)," ")))</x:f>
        <x:v>FM000331</x:v>
      </x:c>
      <x:c r="C332" s="14" t="n">
        <x:f>IF(B332="","Thiếu mã",IFERROR(VLOOKUP(B332,'GiaCuoc'!$A$2:$B$501,2,FALSE),"Cần kiểm tra mã"))</x:f>
        <x:v>45000</x:v>
      </x:c>
      <x:c r="D332" s="2" t="str">
        <x:v>Liên tỉnh</x:v>
      </x:c>
      <x:c r="E332" s="10" t="d">
        <x:v>2026-10-27T17:00:00.000Z</x:v>
      </x:c>
      <x:c r="F332" s="10" t="d">
        <x:v>2026-10-27T16:00:00.000Z</x:v>
      </x:c>
      <x:c r="G332" s="2" t="str">
        <x:f>IF(F332&lt;=E332,"Đúng hẹn","Trễ hẹn")</x:f>
        <x:v>Đúng hẹn</x:v>
      </x:c>
    </x:row>
    <x:row r="333" ht="24" customHeight="1">
      <x:c r="A333" s="11" t="str">
        <x:v>FM000332</x:v>
      </x:c>
      <x:c r="B333" s="12" t="str">
        <x:f>TRIM(CLEAN(SUBSTITUTE(A333,CHAR(160)," ")))</x:f>
        <x:v>FM000332</x:v>
      </x:c>
      <x:c r="C333" s="14" t="n">
        <x:f>IF(B333="","Thiếu mã",IFERROR(VLOOKUP(B333,'GiaCuoc'!$A$2:$B$501,2,FALSE),"Cần kiểm tra mã"))</x:f>
        <x:v>45000</x:v>
      </x:c>
      <x:c r="D333" s="2" t="str">
        <x:v>Liên tỉnh</x:v>
      </x:c>
      <x:c r="E333" s="10" t="d">
        <x:v>2026-10-27T17:00:00.000Z</x:v>
      </x:c>
      <x:c r="F333" s="10" t="d">
        <x:v>2026-10-27T16:00:00.000Z</x:v>
      </x:c>
      <x:c r="G333" s="2" t="str">
        <x:f>IF(F333&lt;=E333,"Đúng hẹn","Trễ hẹn")</x:f>
        <x:v>Đúng hẹn</x:v>
      </x:c>
    </x:row>
    <x:row r="334" ht="24" customHeight="1">
      <x:c r="A334" s="11" t="str">
        <x:v>FM000333</x:v>
      </x:c>
      <x:c r="B334" s="12" t="str">
        <x:f>TRIM(CLEAN(SUBSTITUTE(A334,CHAR(160)," ")))</x:f>
        <x:v>FM000333</x:v>
      </x:c>
      <x:c r="C334" s="14" t="n">
        <x:f>IF(B334="","Thiếu mã",IFERROR(VLOOKUP(B334,'GiaCuoc'!$A$2:$B$501,2,FALSE),"Cần kiểm tra mã"))</x:f>
        <x:v>45000</x:v>
      </x:c>
      <x:c r="D334" s="2" t="str">
        <x:v>Liên tỉnh</x:v>
      </x:c>
      <x:c r="E334" s="10" t="d">
        <x:v>2026-10-27T17:00:00.000Z</x:v>
      </x:c>
      <x:c r="F334" s="10" t="d">
        <x:v>2026-10-27T16:00:00.000Z</x:v>
      </x:c>
      <x:c r="G334" s="2" t="str">
        <x:f>IF(F334&lt;=E334,"Đúng hẹn","Trễ hẹn")</x:f>
        <x:v>Đúng hẹn</x:v>
      </x:c>
    </x:row>
    <x:row r="335" ht="24" customHeight="1">
      <x:c r="A335" s="11" t="str">
        <x:v>FM000334</x:v>
      </x:c>
      <x:c r="B335" s="12" t="str">
        <x:f>TRIM(CLEAN(SUBSTITUTE(A335,CHAR(160)," ")))</x:f>
        <x:v>FM000334</x:v>
      </x:c>
      <x:c r="C335" s="14" t="n">
        <x:f>IF(B335="","Thiếu mã",IFERROR(VLOOKUP(B335,'GiaCuoc'!$A$2:$B$501,2,FALSE),"Cần kiểm tra mã"))</x:f>
        <x:v>45000</x:v>
      </x:c>
      <x:c r="D335" s="2" t="str">
        <x:v>Liên tỉnh</x:v>
      </x:c>
      <x:c r="E335" s="10" t="d">
        <x:v>2026-10-27T17:00:00.000Z</x:v>
      </x:c>
      <x:c r="F335" s="10" t="d">
        <x:v>2026-10-27T16:00:00.000Z</x:v>
      </x:c>
      <x:c r="G335" s="2" t="str">
        <x:f>IF(F335&lt;=E335,"Đúng hẹn","Trễ hẹn")</x:f>
        <x:v>Đúng hẹn</x:v>
      </x:c>
    </x:row>
    <x:row r="336" ht="24" customHeight="1">
      <x:c r="A336" s="11" t="str">
        <x:v>FM000335</x:v>
      </x:c>
      <x:c r="B336" s="12" t="str">
        <x:f>TRIM(CLEAN(SUBSTITUTE(A336,CHAR(160)," ")))</x:f>
        <x:v>FM000335</x:v>
      </x:c>
      <x:c r="C336" s="14" t="n">
        <x:f>IF(B336="","Thiếu mã",IFERROR(VLOOKUP(B336,'GiaCuoc'!$A$2:$B$501,2,FALSE),"Cần kiểm tra mã"))</x:f>
        <x:v>45000</x:v>
      </x:c>
      <x:c r="D336" s="2" t="str">
        <x:v>Liên tỉnh</x:v>
      </x:c>
      <x:c r="E336" s="10" t="d">
        <x:v>2026-10-27T17:00:00.000Z</x:v>
      </x:c>
      <x:c r="F336" s="10" t="d">
        <x:v>2026-10-27T16:00:00.000Z</x:v>
      </x:c>
      <x:c r="G336" s="2" t="str">
        <x:f>IF(F336&lt;=E336,"Đúng hẹn","Trễ hẹn")</x:f>
        <x:v>Đúng hẹn</x:v>
      </x:c>
    </x:row>
    <x:row r="337" ht="24" customHeight="1">
      <x:c r="A337" s="11" t="str">
        <x:v>FM000336</x:v>
      </x:c>
      <x:c r="B337" s="12" t="str">
        <x:f>TRIM(CLEAN(SUBSTITUTE(A337,CHAR(160)," ")))</x:f>
        <x:v>FM000336</x:v>
      </x:c>
      <x:c r="C337" s="14" t="n">
        <x:f>IF(B337="","Thiếu mã",IFERROR(VLOOKUP(B337,'GiaCuoc'!$A$2:$B$501,2,FALSE),"Cần kiểm tra mã"))</x:f>
        <x:v>45000</x:v>
      </x:c>
      <x:c r="D337" s="2" t="str">
        <x:v>Liên tỉnh</x:v>
      </x:c>
      <x:c r="E337" s="10" t="d">
        <x:v>2026-10-27T17:00:00.000Z</x:v>
      </x:c>
      <x:c r="F337" s="10" t="d">
        <x:v>2026-10-27T16:00:00.000Z</x:v>
      </x:c>
      <x:c r="G337" s="2" t="str">
        <x:f>IF(F337&lt;=E337,"Đúng hẹn","Trễ hẹn")</x:f>
        <x:v>Đúng hẹn</x:v>
      </x:c>
    </x:row>
    <x:row r="338" ht="24" customHeight="1">
      <x:c r="A338" s="11" t="str">
        <x:v>FM000337</x:v>
      </x:c>
      <x:c r="B338" s="12" t="str">
        <x:f>TRIM(CLEAN(SUBSTITUTE(A338,CHAR(160)," ")))</x:f>
        <x:v>FM000337</x:v>
      </x:c>
      <x:c r="C338" s="14" t="n">
        <x:f>IF(B338="","Thiếu mã",IFERROR(VLOOKUP(B338,'GiaCuoc'!$A$2:$B$501,2,FALSE),"Cần kiểm tra mã"))</x:f>
        <x:v>45000</x:v>
      </x:c>
      <x:c r="D338" s="2" t="str">
        <x:v>Liên tỉnh</x:v>
      </x:c>
      <x:c r="E338" s="10" t="d">
        <x:v>2026-10-27T17:00:00.000Z</x:v>
      </x:c>
      <x:c r="F338" s="10" t="d">
        <x:v>2026-10-27T16:00:00.000Z</x:v>
      </x:c>
      <x:c r="G338" s="2" t="str">
        <x:f>IF(F338&lt;=E338,"Đúng hẹn","Trễ hẹn")</x:f>
        <x:v>Đúng hẹn</x:v>
      </x:c>
    </x:row>
    <x:row r="339" ht="24" customHeight="1">
      <x:c r="A339" s="11" t="str">
        <x:v>FM000338</x:v>
      </x:c>
      <x:c r="B339" s="12" t="str">
        <x:f>TRIM(CLEAN(SUBSTITUTE(A339,CHAR(160)," ")))</x:f>
        <x:v>FM000338</x:v>
      </x:c>
      <x:c r="C339" s="14" t="n">
        <x:f>IF(B339="","Thiếu mã",IFERROR(VLOOKUP(B339,'GiaCuoc'!$A$2:$B$501,2,FALSE),"Cần kiểm tra mã"))</x:f>
        <x:v>45000</x:v>
      </x:c>
      <x:c r="D339" s="2" t="str">
        <x:v>Liên tỉnh</x:v>
      </x:c>
      <x:c r="E339" s="10" t="d">
        <x:v>2026-10-27T17:00:00.000Z</x:v>
      </x:c>
      <x:c r="F339" s="10" t="d">
        <x:v>2026-10-27T16:00:00.000Z</x:v>
      </x:c>
      <x:c r="G339" s="2" t="str">
        <x:f>IF(F339&lt;=E339,"Đúng hẹn","Trễ hẹn")</x:f>
        <x:v>Đúng hẹn</x:v>
      </x:c>
    </x:row>
    <x:row r="340" ht="24" customHeight="1">
      <x:c r="A340" s="11" t="str">
        <x:v>FM000339</x:v>
      </x:c>
      <x:c r="B340" s="12" t="str">
        <x:f>TRIM(CLEAN(SUBSTITUTE(A340,CHAR(160)," ")))</x:f>
        <x:v>FM000339</x:v>
      </x:c>
      <x:c r="C340" s="14" t="n">
        <x:f>IF(B340="","Thiếu mã",IFERROR(VLOOKUP(B340,'GiaCuoc'!$A$2:$B$501,2,FALSE),"Cần kiểm tra mã"))</x:f>
        <x:v>45000</x:v>
      </x:c>
      <x:c r="D340" s="2" t="str">
        <x:v>Liên tỉnh</x:v>
      </x:c>
      <x:c r="E340" s="10" t="d">
        <x:v>2026-10-27T17:00:00.000Z</x:v>
      </x:c>
      <x:c r="F340" s="10" t="d">
        <x:v>2026-10-27T16:00:00.000Z</x:v>
      </x:c>
      <x:c r="G340" s="2" t="str">
        <x:f>IF(F340&lt;=E340,"Đúng hẹn","Trễ hẹn")</x:f>
        <x:v>Đúng hẹn</x:v>
      </x:c>
    </x:row>
    <x:row r="341" ht="24" customHeight="1">
      <x:c r="A341" s="11" t="str">
        <x:v>FM000340</x:v>
      </x:c>
      <x:c r="B341" s="12" t="str">
        <x:f>TRIM(CLEAN(SUBSTITUTE(A341,CHAR(160)," ")))</x:f>
        <x:v>FM000340</x:v>
      </x:c>
      <x:c r="C341" s="14" t="n">
        <x:f>IF(B341="","Thiếu mã",IFERROR(VLOOKUP(B341,'GiaCuoc'!$A$2:$B$501,2,FALSE),"Cần kiểm tra mã"))</x:f>
        <x:v>45000</x:v>
      </x:c>
      <x:c r="D341" s="2" t="str">
        <x:v>Liên tỉnh</x:v>
      </x:c>
      <x:c r="E341" s="10" t="d">
        <x:v>2026-10-27T17:00:00.000Z</x:v>
      </x:c>
      <x:c r="F341" s="10" t="d">
        <x:v>2026-10-27T16:00:00.000Z</x:v>
      </x:c>
      <x:c r="G341" s="2" t="str">
        <x:f>IF(F341&lt;=E341,"Đúng hẹn","Trễ hẹn")</x:f>
        <x:v>Đúng hẹn</x:v>
      </x:c>
    </x:row>
    <x:row r="342" ht="24" customHeight="1">
      <x:c r="A342" s="11" t="str">
        <x:v>FM000341</x:v>
      </x:c>
      <x:c r="B342" s="12" t="str">
        <x:f>TRIM(CLEAN(SUBSTITUTE(A342,CHAR(160)," ")))</x:f>
        <x:v>FM000341</x:v>
      </x:c>
      <x:c r="C342" s="14" t="n">
        <x:f>IF(B342="","Thiếu mã",IFERROR(VLOOKUP(B342,'GiaCuoc'!$A$2:$B$501,2,FALSE),"Cần kiểm tra mã"))</x:f>
        <x:v>45000</x:v>
      </x:c>
      <x:c r="D342" s="2" t="str">
        <x:v>Liên tỉnh</x:v>
      </x:c>
      <x:c r="E342" s="10" t="d">
        <x:v>2026-10-27T17:00:00.000Z</x:v>
      </x:c>
      <x:c r="F342" s="10" t="d">
        <x:v>2026-10-27T16:00:00.000Z</x:v>
      </x:c>
      <x:c r="G342" s="2" t="str">
        <x:f>IF(F342&lt;=E342,"Đúng hẹn","Trễ hẹn")</x:f>
        <x:v>Đúng hẹn</x:v>
      </x:c>
    </x:row>
    <x:row r="343" ht="24" customHeight="1">
      <x:c r="A343" s="11" t="str">
        <x:v>FM000342</x:v>
      </x:c>
      <x:c r="B343" s="12" t="str">
        <x:f>TRIM(CLEAN(SUBSTITUTE(A343,CHAR(160)," ")))</x:f>
        <x:v>FM000342</x:v>
      </x:c>
      <x:c r="C343" s="14" t="n">
        <x:f>IF(B343="","Thiếu mã",IFERROR(VLOOKUP(B343,'GiaCuoc'!$A$2:$B$501,2,FALSE),"Cần kiểm tra mã"))</x:f>
        <x:v>45000</x:v>
      </x:c>
      <x:c r="D343" s="2" t="str">
        <x:v>Liên tỉnh</x:v>
      </x:c>
      <x:c r="E343" s="10" t="d">
        <x:v>2026-10-27T17:00:00.000Z</x:v>
      </x:c>
      <x:c r="F343" s="10" t="d">
        <x:v>2026-10-27T16:00:00.000Z</x:v>
      </x:c>
      <x:c r="G343" s="2" t="str">
        <x:f>IF(F343&lt;=E343,"Đúng hẹn","Trễ hẹn")</x:f>
        <x:v>Đúng hẹn</x:v>
      </x:c>
    </x:row>
    <x:row r="344" ht="24" customHeight="1">
      <x:c r="A344" s="11" t="str">
        <x:v>FM000343</x:v>
      </x:c>
      <x:c r="B344" s="12" t="str">
        <x:f>TRIM(CLEAN(SUBSTITUTE(A344,CHAR(160)," ")))</x:f>
        <x:v>FM000343</x:v>
      </x:c>
      <x:c r="C344" s="14" t="n">
        <x:f>IF(B344="","Thiếu mã",IFERROR(VLOOKUP(B344,'GiaCuoc'!$A$2:$B$501,2,FALSE),"Cần kiểm tra mã"))</x:f>
        <x:v>45000</x:v>
      </x:c>
      <x:c r="D344" s="2" t="str">
        <x:v>Liên tỉnh</x:v>
      </x:c>
      <x:c r="E344" s="10" t="d">
        <x:v>2026-10-27T17:00:00.000Z</x:v>
      </x:c>
      <x:c r="F344" s="10" t="d">
        <x:v>2026-10-27T16:00:00.000Z</x:v>
      </x:c>
      <x:c r="G344" s="2" t="str">
        <x:f>IF(F344&lt;=E344,"Đúng hẹn","Trễ hẹn")</x:f>
        <x:v>Đúng hẹn</x:v>
      </x:c>
    </x:row>
    <x:row r="345" ht="24" customHeight="1">
      <x:c r="A345" s="11" t="str">
        <x:v>FM000344</x:v>
      </x:c>
      <x:c r="B345" s="12" t="str">
        <x:f>TRIM(CLEAN(SUBSTITUTE(A345,CHAR(160)," ")))</x:f>
        <x:v>FM000344</x:v>
      </x:c>
      <x:c r="C345" s="14" t="n">
        <x:f>IF(B345="","Thiếu mã",IFERROR(VLOOKUP(B345,'GiaCuoc'!$A$2:$B$501,2,FALSE),"Cần kiểm tra mã"))</x:f>
        <x:v>45000</x:v>
      </x:c>
      <x:c r="D345" s="2" t="str">
        <x:v>Liên tỉnh</x:v>
      </x:c>
      <x:c r="E345" s="10" t="d">
        <x:v>2026-10-27T17:00:00.000Z</x:v>
      </x:c>
      <x:c r="F345" s="10" t="d">
        <x:v>2026-10-27T16:00:00.000Z</x:v>
      </x:c>
      <x:c r="G345" s="2" t="str">
        <x:f>IF(F345&lt;=E345,"Đúng hẹn","Trễ hẹn")</x:f>
        <x:v>Đúng hẹn</x:v>
      </x:c>
    </x:row>
    <x:row r="346" ht="24" customHeight="1">
      <x:c r="A346" s="11" t="str">
        <x:v>FM000345</x:v>
      </x:c>
      <x:c r="B346" s="12" t="str">
        <x:f>TRIM(CLEAN(SUBSTITUTE(A346,CHAR(160)," ")))</x:f>
        <x:v>FM000345</x:v>
      </x:c>
      <x:c r="C346" s="14" t="n">
        <x:f>IF(B346="","Thiếu mã",IFERROR(VLOOKUP(B346,'GiaCuoc'!$A$2:$B$501,2,FALSE),"Cần kiểm tra mã"))</x:f>
        <x:v>45000</x:v>
      </x:c>
      <x:c r="D346" s="2" t="str">
        <x:v>Liên tỉnh</x:v>
      </x:c>
      <x:c r="E346" s="10" t="d">
        <x:v>2026-10-27T17:00:00.000Z</x:v>
      </x:c>
      <x:c r="F346" s="10" t="d">
        <x:v>2026-10-27T16:00:00.000Z</x:v>
      </x:c>
      <x:c r="G346" s="2" t="str">
        <x:f>IF(F346&lt;=E346,"Đúng hẹn","Trễ hẹn")</x:f>
        <x:v>Đúng hẹn</x:v>
      </x:c>
    </x:row>
    <x:row r="347" ht="24" customHeight="1">
      <x:c r="A347" s="11" t="str">
        <x:v>FM000346</x:v>
      </x:c>
      <x:c r="B347" s="12" t="str">
        <x:f>TRIM(CLEAN(SUBSTITUTE(A347,CHAR(160)," ")))</x:f>
        <x:v>FM000346</x:v>
      </x:c>
      <x:c r="C347" s="14" t="n">
        <x:f>IF(B347="","Thiếu mã",IFERROR(VLOOKUP(B347,'GiaCuoc'!$A$2:$B$501,2,FALSE),"Cần kiểm tra mã"))</x:f>
        <x:v>45000</x:v>
      </x:c>
      <x:c r="D347" s="2" t="str">
        <x:v>Liên tỉnh</x:v>
      </x:c>
      <x:c r="E347" s="10" t="d">
        <x:v>2026-10-27T17:00:00.000Z</x:v>
      </x:c>
      <x:c r="F347" s="10" t="d">
        <x:v>2026-10-27T16:00:00.000Z</x:v>
      </x:c>
      <x:c r="G347" s="2" t="str">
        <x:f>IF(F347&lt;=E347,"Đúng hẹn","Trễ hẹn")</x:f>
        <x:v>Đúng hẹn</x:v>
      </x:c>
    </x:row>
    <x:row r="348" ht="24" customHeight="1">
      <x:c r="A348" s="11" t="str">
        <x:v>FM000347</x:v>
      </x:c>
      <x:c r="B348" s="12" t="str">
        <x:f>TRIM(CLEAN(SUBSTITUTE(A348,CHAR(160)," ")))</x:f>
        <x:v>FM000347</x:v>
      </x:c>
      <x:c r="C348" s="14" t="n">
        <x:f>IF(B348="","Thiếu mã",IFERROR(VLOOKUP(B348,'GiaCuoc'!$A$2:$B$501,2,FALSE),"Cần kiểm tra mã"))</x:f>
        <x:v>45000</x:v>
      </x:c>
      <x:c r="D348" s="2" t="str">
        <x:v>Liên tỉnh</x:v>
      </x:c>
      <x:c r="E348" s="10" t="d">
        <x:v>2026-10-27T17:00:00.000Z</x:v>
      </x:c>
      <x:c r="F348" s="10" t="d">
        <x:v>2026-10-27T16:00:00.000Z</x:v>
      </x:c>
      <x:c r="G348" s="2" t="str">
        <x:f>IF(F348&lt;=E348,"Đúng hẹn","Trễ hẹn")</x:f>
        <x:v>Đúng hẹn</x:v>
      </x:c>
    </x:row>
    <x:row r="349" ht="24" customHeight="1">
      <x:c r="A349" s="11" t="str">
        <x:v>FM000348</x:v>
      </x:c>
      <x:c r="B349" s="12" t="str">
        <x:f>TRIM(CLEAN(SUBSTITUTE(A349,CHAR(160)," ")))</x:f>
        <x:v>FM000348</x:v>
      </x:c>
      <x:c r="C349" s="14" t="n">
        <x:f>IF(B349="","Thiếu mã",IFERROR(VLOOKUP(B349,'GiaCuoc'!$A$2:$B$501,2,FALSE),"Cần kiểm tra mã"))</x:f>
        <x:v>45000</x:v>
      </x:c>
      <x:c r="D349" s="2" t="str">
        <x:v>Liên tỉnh</x:v>
      </x:c>
      <x:c r="E349" s="10" t="d">
        <x:v>2026-10-27T17:00:00.000Z</x:v>
      </x:c>
      <x:c r="F349" s="10" t="d">
        <x:v>2026-10-27T16:00:00.000Z</x:v>
      </x:c>
      <x:c r="G349" s="2" t="str">
        <x:f>IF(F349&lt;=E349,"Đúng hẹn","Trễ hẹn")</x:f>
        <x:v>Đúng hẹn</x:v>
      </x:c>
    </x:row>
    <x:row r="350" ht="24" customHeight="1">
      <x:c r="A350" s="11" t="str">
        <x:v>FM000349</x:v>
      </x:c>
      <x:c r="B350" s="12" t="str">
        <x:f>TRIM(CLEAN(SUBSTITUTE(A350,CHAR(160)," ")))</x:f>
        <x:v>FM000349</x:v>
      </x:c>
      <x:c r="C350" s="14" t="n">
        <x:f>IF(B350="","Thiếu mã",IFERROR(VLOOKUP(B350,'GiaCuoc'!$A$2:$B$501,2,FALSE),"Cần kiểm tra mã"))</x:f>
        <x:v>45000</x:v>
      </x:c>
      <x:c r="D350" s="2" t="str">
        <x:v>Liên tỉnh</x:v>
      </x:c>
      <x:c r="E350" s="10" t="d">
        <x:v>2026-10-27T17:00:00.000Z</x:v>
      </x:c>
      <x:c r="F350" s="10" t="d">
        <x:v>2026-10-27T16:00:00.000Z</x:v>
      </x:c>
      <x:c r="G350" s="2" t="str">
        <x:f>IF(F350&lt;=E350,"Đúng hẹn","Trễ hẹn")</x:f>
        <x:v>Đúng hẹn</x:v>
      </x:c>
    </x:row>
    <x:row r="351" ht="24" customHeight="1">
      <x:c r="A351" s="11" t="str">
        <x:v>FM000350</x:v>
      </x:c>
      <x:c r="B351" s="12" t="str">
        <x:f>TRIM(CLEAN(SUBSTITUTE(A351,CHAR(160)," ")))</x:f>
        <x:v>FM000350</x:v>
      </x:c>
      <x:c r="C351" s="14" t="n">
        <x:f>IF(B351="","Thiếu mã",IFERROR(VLOOKUP(B351,'GiaCuoc'!$A$2:$B$501,2,FALSE),"Cần kiểm tra mã"))</x:f>
        <x:v>45000</x:v>
      </x:c>
      <x:c r="D351" s="2" t="str">
        <x:v>Liên tỉnh</x:v>
      </x:c>
      <x:c r="E351" s="10" t="d">
        <x:v>2026-10-27T17:00:00.000Z</x:v>
      </x:c>
      <x:c r="F351" s="10" t="d">
        <x:v>2026-10-27T16:00:00.000Z</x:v>
      </x:c>
      <x:c r="G351" s="2" t="str">
        <x:f>IF(F351&lt;=E351,"Đúng hẹn","Trễ hẹn")</x:f>
        <x:v>Đúng hẹn</x:v>
      </x:c>
    </x:row>
    <x:row r="352" ht="24" customHeight="1">
      <x:c r="A352" s="11" t="str">
        <x:v>FM000351</x:v>
      </x:c>
      <x:c r="B352" s="12" t="str">
        <x:f>TRIM(CLEAN(SUBSTITUTE(A352,CHAR(160)," ")))</x:f>
        <x:v>FM000351</x:v>
      </x:c>
      <x:c r="C352" s="14" t="n">
        <x:f>IF(B352="","Thiếu mã",IFERROR(VLOOKUP(B352,'GiaCuoc'!$A$2:$B$501,2,FALSE),"Cần kiểm tra mã"))</x:f>
        <x:v>45000</x:v>
      </x:c>
      <x:c r="D352" s="2" t="str">
        <x:v>Liên tỉnh</x:v>
      </x:c>
      <x:c r="E352" s="10" t="d">
        <x:v>2026-10-27T17:00:00.000Z</x:v>
      </x:c>
      <x:c r="F352" s="10" t="d">
        <x:v>2026-10-27T16:00:00.000Z</x:v>
      </x:c>
      <x:c r="G352" s="2" t="str">
        <x:f>IF(F352&lt;=E352,"Đúng hẹn","Trễ hẹn")</x:f>
        <x:v>Đúng hẹn</x:v>
      </x:c>
    </x:row>
    <x:row r="353" ht="24" customHeight="1">
      <x:c r="A353" s="11" t="str">
        <x:v>FM000352</x:v>
      </x:c>
      <x:c r="B353" s="12" t="str">
        <x:f>TRIM(CLEAN(SUBSTITUTE(A353,CHAR(160)," ")))</x:f>
        <x:v>FM000352</x:v>
      </x:c>
      <x:c r="C353" s="14" t="n">
        <x:f>IF(B353="","Thiếu mã",IFERROR(VLOOKUP(B353,'GiaCuoc'!$A$2:$B$501,2,FALSE),"Cần kiểm tra mã"))</x:f>
        <x:v>45000</x:v>
      </x:c>
      <x:c r="D353" s="2" t="str">
        <x:v>Liên tỉnh</x:v>
      </x:c>
      <x:c r="E353" s="10" t="d">
        <x:v>2026-10-27T17:00:00.000Z</x:v>
      </x:c>
      <x:c r="F353" s="10" t="d">
        <x:v>2026-10-27T16:00:00.000Z</x:v>
      </x:c>
      <x:c r="G353" s="2" t="str">
        <x:f>IF(F353&lt;=E353,"Đúng hẹn","Trễ hẹn")</x:f>
        <x:v>Đúng hẹn</x:v>
      </x:c>
    </x:row>
    <x:row r="354" ht="24" customHeight="1">
      <x:c r="A354" s="11" t="str">
        <x:v>FM000353</x:v>
      </x:c>
      <x:c r="B354" s="12" t="str">
        <x:f>TRIM(CLEAN(SUBSTITUTE(A354,CHAR(160)," ")))</x:f>
        <x:v>FM000353</x:v>
      </x:c>
      <x:c r="C354" s="14" t="n">
        <x:f>IF(B354="","Thiếu mã",IFERROR(VLOOKUP(B354,'GiaCuoc'!$A$2:$B$501,2,FALSE),"Cần kiểm tra mã"))</x:f>
        <x:v>45000</x:v>
      </x:c>
      <x:c r="D354" s="2" t="str">
        <x:v>Liên tỉnh</x:v>
      </x:c>
      <x:c r="E354" s="10" t="d">
        <x:v>2026-10-27T17:00:00.000Z</x:v>
      </x:c>
      <x:c r="F354" s="10" t="d">
        <x:v>2026-10-27T16:00:00.000Z</x:v>
      </x:c>
      <x:c r="G354" s="2" t="str">
        <x:f>IF(F354&lt;=E354,"Đúng hẹn","Trễ hẹn")</x:f>
        <x:v>Đúng hẹn</x:v>
      </x:c>
    </x:row>
    <x:row r="355" ht="24" customHeight="1">
      <x:c r="A355" s="11" t="str">
        <x:v>FM000354</x:v>
      </x:c>
      <x:c r="B355" s="12" t="str">
        <x:f>TRIM(CLEAN(SUBSTITUTE(A355,CHAR(160)," ")))</x:f>
        <x:v>FM000354</x:v>
      </x:c>
      <x:c r="C355" s="14" t="n">
        <x:f>IF(B355="","Thiếu mã",IFERROR(VLOOKUP(B355,'GiaCuoc'!$A$2:$B$501,2,FALSE),"Cần kiểm tra mã"))</x:f>
        <x:v>45000</x:v>
      </x:c>
      <x:c r="D355" s="2" t="str">
        <x:v>Liên tỉnh</x:v>
      </x:c>
      <x:c r="E355" s="10" t="d">
        <x:v>2026-10-27T17:00:00.000Z</x:v>
      </x:c>
      <x:c r="F355" s="10" t="d">
        <x:v>2026-10-27T16:00:00.000Z</x:v>
      </x:c>
      <x:c r="G355" s="2" t="str">
        <x:f>IF(F355&lt;=E355,"Đúng hẹn","Trễ hẹn")</x:f>
        <x:v>Đúng hẹn</x:v>
      </x:c>
    </x:row>
    <x:row r="356" ht="24" customHeight="1">
      <x:c r="A356" s="11" t="str">
        <x:v>FM000355</x:v>
      </x:c>
      <x:c r="B356" s="12" t="str">
        <x:f>TRIM(CLEAN(SUBSTITUTE(A356,CHAR(160)," ")))</x:f>
        <x:v>FM000355</x:v>
      </x:c>
      <x:c r="C356" s="14" t="n">
        <x:f>IF(B356="","Thiếu mã",IFERROR(VLOOKUP(B356,'GiaCuoc'!$A$2:$B$501,2,FALSE),"Cần kiểm tra mã"))</x:f>
        <x:v>45000</x:v>
      </x:c>
      <x:c r="D356" s="2" t="str">
        <x:v>Liên tỉnh</x:v>
      </x:c>
      <x:c r="E356" s="10" t="d">
        <x:v>2026-10-27T17:00:00.000Z</x:v>
      </x:c>
      <x:c r="F356" s="10" t="d">
        <x:v>2026-10-27T16:00:00.000Z</x:v>
      </x:c>
      <x:c r="G356" s="2" t="str">
        <x:f>IF(F356&lt;=E356,"Đúng hẹn","Trễ hẹn")</x:f>
        <x:v>Đúng hẹn</x:v>
      </x:c>
    </x:row>
    <x:row r="357" ht="24" customHeight="1">
      <x:c r="A357" s="11" t="str">
        <x:v>FM000356</x:v>
      </x:c>
      <x:c r="B357" s="12" t="str">
        <x:f>TRIM(CLEAN(SUBSTITUTE(A357,CHAR(160)," ")))</x:f>
        <x:v>FM000356</x:v>
      </x:c>
      <x:c r="C357" s="14" t="n">
        <x:f>IF(B357="","Thiếu mã",IFERROR(VLOOKUP(B357,'GiaCuoc'!$A$2:$B$501,2,FALSE),"Cần kiểm tra mã"))</x:f>
        <x:v>45000</x:v>
      </x:c>
      <x:c r="D357" s="2" t="str">
        <x:v>Liên tỉnh</x:v>
      </x:c>
      <x:c r="E357" s="10" t="d">
        <x:v>2026-10-27T17:00:00.000Z</x:v>
      </x:c>
      <x:c r="F357" s="10" t="d">
        <x:v>2026-10-27T16:00:00.000Z</x:v>
      </x:c>
      <x:c r="G357" s="2" t="str">
        <x:f>IF(F357&lt;=E357,"Đúng hẹn","Trễ hẹn")</x:f>
        <x:v>Đúng hẹn</x:v>
      </x:c>
    </x:row>
    <x:row r="358" ht="24" customHeight="1">
      <x:c r="A358" s="11" t="str">
        <x:v>FM000357</x:v>
      </x:c>
      <x:c r="B358" s="12" t="str">
        <x:f>TRIM(CLEAN(SUBSTITUTE(A358,CHAR(160)," ")))</x:f>
        <x:v>FM000357</x:v>
      </x:c>
      <x:c r="C358" s="14" t="n">
        <x:f>IF(B358="","Thiếu mã",IFERROR(VLOOKUP(B358,'GiaCuoc'!$A$2:$B$501,2,FALSE),"Cần kiểm tra mã"))</x:f>
        <x:v>45000</x:v>
      </x:c>
      <x:c r="D358" s="2" t="str">
        <x:v>Liên tỉnh</x:v>
      </x:c>
      <x:c r="E358" s="10" t="d">
        <x:v>2026-10-27T17:00:00.000Z</x:v>
      </x:c>
      <x:c r="F358" s="10" t="d">
        <x:v>2026-10-27T16:00:00.000Z</x:v>
      </x:c>
      <x:c r="G358" s="2" t="str">
        <x:f>IF(F358&lt;=E358,"Đúng hẹn","Trễ hẹn")</x:f>
        <x:v>Đúng hẹn</x:v>
      </x:c>
    </x:row>
    <x:row r="359" ht="24" customHeight="1">
      <x:c r="A359" s="11" t="str">
        <x:v>FM000358</x:v>
      </x:c>
      <x:c r="B359" s="12" t="str">
        <x:f>TRIM(CLEAN(SUBSTITUTE(A359,CHAR(160)," ")))</x:f>
        <x:v>FM000358</x:v>
      </x:c>
      <x:c r="C359" s="14" t="n">
        <x:f>IF(B359="","Thiếu mã",IFERROR(VLOOKUP(B359,'GiaCuoc'!$A$2:$B$501,2,FALSE),"Cần kiểm tra mã"))</x:f>
        <x:v>45000</x:v>
      </x:c>
      <x:c r="D359" s="2" t="str">
        <x:v>Liên tỉnh</x:v>
      </x:c>
      <x:c r="E359" s="10" t="d">
        <x:v>2026-10-27T17:00:00.000Z</x:v>
      </x:c>
      <x:c r="F359" s="10" t="d">
        <x:v>2026-10-27T16:00:00.000Z</x:v>
      </x:c>
      <x:c r="G359" s="2" t="str">
        <x:f>IF(F359&lt;=E359,"Đúng hẹn","Trễ hẹn")</x:f>
        <x:v>Đúng hẹn</x:v>
      </x:c>
    </x:row>
    <x:row r="360" ht="24" customHeight="1">
      <x:c r="A360" s="11" t="str">
        <x:v>FM000359</x:v>
      </x:c>
      <x:c r="B360" s="12" t="str">
        <x:f>TRIM(CLEAN(SUBSTITUTE(A360,CHAR(160)," ")))</x:f>
        <x:v>FM000359</x:v>
      </x:c>
      <x:c r="C360" s="14" t="n">
        <x:f>IF(B360="","Thiếu mã",IFERROR(VLOOKUP(B360,'GiaCuoc'!$A$2:$B$501,2,FALSE),"Cần kiểm tra mã"))</x:f>
        <x:v>45000</x:v>
      </x:c>
      <x:c r="D360" s="2" t="str">
        <x:v>Liên tỉnh</x:v>
      </x:c>
      <x:c r="E360" s="10" t="d">
        <x:v>2026-10-27T17:00:00.000Z</x:v>
      </x:c>
      <x:c r="F360" s="10" t="d">
        <x:v>2026-10-27T16:00:00.000Z</x:v>
      </x:c>
      <x:c r="G360" s="2" t="str">
        <x:f>IF(F360&lt;=E360,"Đúng hẹn","Trễ hẹn")</x:f>
        <x:v>Đúng hẹn</x:v>
      </x:c>
    </x:row>
    <x:row r="361" ht="24" customHeight="1">
      <x:c r="A361" s="11" t="str">
        <x:v>FM000360</x:v>
      </x:c>
      <x:c r="B361" s="12" t="str">
        <x:f>TRIM(CLEAN(SUBSTITUTE(A361,CHAR(160)," ")))</x:f>
        <x:v>FM000360</x:v>
      </x:c>
      <x:c r="C361" s="14" t="n">
        <x:f>IF(B361="","Thiếu mã",IFERROR(VLOOKUP(B361,'GiaCuoc'!$A$2:$B$501,2,FALSE),"Cần kiểm tra mã"))</x:f>
        <x:v>45000</x:v>
      </x:c>
      <x:c r="D361" s="2" t="str">
        <x:v>Liên tỉnh</x:v>
      </x:c>
      <x:c r="E361" s="10" t="d">
        <x:v>2026-10-27T17:00:00.000Z</x:v>
      </x:c>
      <x:c r="F361" s="10" t="d">
        <x:v>2026-10-27T16:00:00.000Z</x:v>
      </x:c>
      <x:c r="G361" s="2" t="str">
        <x:f>IF(F361&lt;=E361,"Đúng hẹn","Trễ hẹn")</x:f>
        <x:v>Đúng hẹn</x:v>
      </x:c>
    </x:row>
    <x:row r="362" ht="24" customHeight="1">
      <x:c r="A362" s="11" t="str">
        <x:v>FM000361</x:v>
      </x:c>
      <x:c r="B362" s="12" t="str">
        <x:f>TRIM(CLEAN(SUBSTITUTE(A362,CHAR(160)," ")))</x:f>
        <x:v>FM000361</x:v>
      </x:c>
      <x:c r="C362" s="14" t="n">
        <x:f>IF(B362="","Thiếu mã",IFERROR(VLOOKUP(B362,'GiaCuoc'!$A$2:$B$501,2,FALSE),"Cần kiểm tra mã"))</x:f>
        <x:v>45000</x:v>
      </x:c>
      <x:c r="D362" s="2" t="str">
        <x:v>Liên tỉnh</x:v>
      </x:c>
      <x:c r="E362" s="10" t="d">
        <x:v>2026-10-27T17:00:00.000Z</x:v>
      </x:c>
      <x:c r="F362" s="10" t="d">
        <x:v>2026-10-27T19:00:00.000Z</x:v>
      </x:c>
      <x:c r="G362" s="2" t="str">
        <x:f>IF(F362&lt;=E362,"Đúng hẹn","Trễ hẹn")</x:f>
        <x:v>Trễ hẹn</x:v>
      </x:c>
    </x:row>
    <x:row r="363" ht="24" customHeight="1">
      <x:c r="A363" s="11" t="str">
        <x:v>FM000362</x:v>
      </x:c>
      <x:c r="B363" s="12" t="str">
        <x:f>TRIM(CLEAN(SUBSTITUTE(A363,CHAR(160)," ")))</x:f>
        <x:v>FM000362</x:v>
      </x:c>
      <x:c r="C363" s="14" t="n">
        <x:f>IF(B363="","Thiếu mã",IFERROR(VLOOKUP(B363,'GiaCuoc'!$A$2:$B$501,2,FALSE),"Cần kiểm tra mã"))</x:f>
        <x:v>45000</x:v>
      </x:c>
      <x:c r="D363" s="2" t="str">
        <x:v>Liên tỉnh</x:v>
      </x:c>
      <x:c r="E363" s="10" t="d">
        <x:v>2026-10-27T17:00:00.000Z</x:v>
      </x:c>
      <x:c r="F363" s="10" t="d">
        <x:v>2026-10-27T19:00:00.000Z</x:v>
      </x:c>
      <x:c r="G363" s="2" t="str">
        <x:f>IF(F363&lt;=E363,"Đúng hẹn","Trễ hẹn")</x:f>
        <x:v>Trễ hẹn</x:v>
      </x:c>
    </x:row>
    <x:row r="364" ht="24" customHeight="1">
      <x:c r="A364" s="11" t="str">
        <x:v>FM000363</x:v>
      </x:c>
      <x:c r="B364" s="12" t="str">
        <x:f>TRIM(CLEAN(SUBSTITUTE(A364,CHAR(160)," ")))</x:f>
        <x:v>FM000363</x:v>
      </x:c>
      <x:c r="C364" s="14" t="n">
        <x:f>IF(B364="","Thiếu mã",IFERROR(VLOOKUP(B364,'GiaCuoc'!$A$2:$B$501,2,FALSE),"Cần kiểm tra mã"))</x:f>
        <x:v>45000</x:v>
      </x:c>
      <x:c r="D364" s="2" t="str">
        <x:v>Liên tỉnh</x:v>
      </x:c>
      <x:c r="E364" s="10" t="d">
        <x:v>2026-10-27T17:00:00.000Z</x:v>
      </x:c>
      <x:c r="F364" s="10" t="d">
        <x:v>2026-10-27T19:00:00.000Z</x:v>
      </x:c>
      <x:c r="G364" s="2" t="str">
        <x:f>IF(F364&lt;=E364,"Đúng hẹn","Trễ hẹn")</x:f>
        <x:v>Trễ hẹn</x:v>
      </x:c>
    </x:row>
    <x:row r="365" ht="24" customHeight="1">
      <x:c r="A365" s="11" t="str">
        <x:v>FM000364</x:v>
      </x:c>
      <x:c r="B365" s="12" t="str">
        <x:f>TRIM(CLEAN(SUBSTITUTE(A365,CHAR(160)," ")))</x:f>
        <x:v>FM000364</x:v>
      </x:c>
      <x:c r="C365" s="14" t="n">
        <x:f>IF(B365="","Thiếu mã",IFERROR(VLOOKUP(B365,'GiaCuoc'!$A$2:$B$501,2,FALSE),"Cần kiểm tra mã"))</x:f>
        <x:v>45000</x:v>
      </x:c>
      <x:c r="D365" s="2" t="str">
        <x:v>Liên tỉnh</x:v>
      </x:c>
      <x:c r="E365" s="10" t="d">
        <x:v>2026-10-27T17:00:00.000Z</x:v>
      </x:c>
      <x:c r="F365" s="10" t="d">
        <x:v>2026-10-27T19:00:00.000Z</x:v>
      </x:c>
      <x:c r="G365" s="2" t="str">
        <x:f>IF(F365&lt;=E365,"Đúng hẹn","Trễ hẹn")</x:f>
        <x:v>Trễ hẹn</x:v>
      </x:c>
    </x:row>
    <x:row r="366" ht="24" customHeight="1">
      <x:c r="A366" s="11" t="str">
        <x:v>FM000365</x:v>
      </x:c>
      <x:c r="B366" s="12" t="str">
        <x:f>TRIM(CLEAN(SUBSTITUTE(A366,CHAR(160)," ")))</x:f>
        <x:v>FM000365</x:v>
      </x:c>
      <x:c r="C366" s="14" t="n">
        <x:f>IF(B366="","Thiếu mã",IFERROR(VLOOKUP(B366,'GiaCuoc'!$A$2:$B$501,2,FALSE),"Cần kiểm tra mã"))</x:f>
        <x:v>45000</x:v>
      </x:c>
      <x:c r="D366" s="2" t="str">
        <x:v>Liên tỉnh</x:v>
      </x:c>
      <x:c r="E366" s="10" t="d">
        <x:v>2026-10-27T17:00:00.000Z</x:v>
      </x:c>
      <x:c r="F366" s="10" t="d">
        <x:v>2026-10-27T19:00:00.000Z</x:v>
      </x:c>
      <x:c r="G366" s="2" t="str">
        <x:f>IF(F366&lt;=E366,"Đúng hẹn","Trễ hẹn")</x:f>
        <x:v>Trễ hẹn</x:v>
      </x:c>
    </x:row>
    <x:row r="367" ht="24" customHeight="1">
      <x:c r="A367" s="11" t="str">
        <x:v>FM000366</x:v>
      </x:c>
      <x:c r="B367" s="12" t="str">
        <x:f>TRIM(CLEAN(SUBSTITUTE(A367,CHAR(160)," ")))</x:f>
        <x:v>FM000366</x:v>
      </x:c>
      <x:c r="C367" s="14" t="n">
        <x:f>IF(B367="","Thiếu mã",IFERROR(VLOOKUP(B367,'GiaCuoc'!$A$2:$B$501,2,FALSE),"Cần kiểm tra mã"))</x:f>
        <x:v>45000</x:v>
      </x:c>
      <x:c r="D367" s="2" t="str">
        <x:v>Liên tỉnh</x:v>
      </x:c>
      <x:c r="E367" s="10" t="d">
        <x:v>2026-10-27T17:00:00.000Z</x:v>
      </x:c>
      <x:c r="F367" s="10" t="d">
        <x:v>2026-10-27T19:00:00.000Z</x:v>
      </x:c>
      <x:c r="G367" s="2" t="str">
        <x:f>IF(F367&lt;=E367,"Đúng hẹn","Trễ hẹn")</x:f>
        <x:v>Trễ hẹn</x:v>
      </x:c>
    </x:row>
    <x:row r="368" ht="24" customHeight="1">
      <x:c r="A368" s="11" t="str">
        <x:v>FM000367</x:v>
      </x:c>
      <x:c r="B368" s="12" t="str">
        <x:f>TRIM(CLEAN(SUBSTITUTE(A368,CHAR(160)," ")))</x:f>
        <x:v>FM000367</x:v>
      </x:c>
      <x:c r="C368" s="14" t="n">
        <x:f>IF(B368="","Thiếu mã",IFERROR(VLOOKUP(B368,'GiaCuoc'!$A$2:$B$501,2,FALSE),"Cần kiểm tra mã"))</x:f>
        <x:v>45000</x:v>
      </x:c>
      <x:c r="D368" s="2" t="str">
        <x:v>Liên tỉnh</x:v>
      </x:c>
      <x:c r="E368" s="10" t="d">
        <x:v>2026-10-27T17:00:00.000Z</x:v>
      </x:c>
      <x:c r="F368" s="10" t="d">
        <x:v>2026-10-27T19:00:00.000Z</x:v>
      </x:c>
      <x:c r="G368" s="2" t="str">
        <x:f>IF(F368&lt;=E368,"Đúng hẹn","Trễ hẹn")</x:f>
        <x:v>Trễ hẹn</x:v>
      </x:c>
    </x:row>
    <x:row r="369" ht="24" customHeight="1">
      <x:c r="A369" s="11" t="str">
        <x:v>FM000368</x:v>
      </x:c>
      <x:c r="B369" s="12" t="str">
        <x:f>TRIM(CLEAN(SUBSTITUTE(A369,CHAR(160)," ")))</x:f>
        <x:v>FM000368</x:v>
      </x:c>
      <x:c r="C369" s="14" t="n">
        <x:f>IF(B369="","Thiếu mã",IFERROR(VLOOKUP(B369,'GiaCuoc'!$A$2:$B$501,2,FALSE),"Cần kiểm tra mã"))</x:f>
        <x:v>45000</x:v>
      </x:c>
      <x:c r="D369" s="2" t="str">
        <x:v>Liên tỉnh</x:v>
      </x:c>
      <x:c r="E369" s="10" t="d">
        <x:v>2026-10-27T17:00:00.000Z</x:v>
      </x:c>
      <x:c r="F369" s="10" t="d">
        <x:v>2026-10-27T19:00:00.000Z</x:v>
      </x:c>
      <x:c r="G369" s="2" t="str">
        <x:f>IF(F369&lt;=E369,"Đúng hẹn","Trễ hẹn")</x:f>
        <x:v>Trễ hẹn</x:v>
      </x:c>
    </x:row>
    <x:row r="370" ht="24" customHeight="1">
      <x:c r="A370" s="11" t="str">
        <x:v>FM000369</x:v>
      </x:c>
      <x:c r="B370" s="12" t="str">
        <x:f>TRIM(CLEAN(SUBSTITUTE(A370,CHAR(160)," ")))</x:f>
        <x:v>FM000369</x:v>
      </x:c>
      <x:c r="C370" s="14" t="n">
        <x:f>IF(B370="","Thiếu mã",IFERROR(VLOOKUP(B370,'GiaCuoc'!$A$2:$B$501,2,FALSE),"Cần kiểm tra mã"))</x:f>
        <x:v>45000</x:v>
      </x:c>
      <x:c r="D370" s="2" t="str">
        <x:v>Liên tỉnh</x:v>
      </x:c>
      <x:c r="E370" s="10" t="d">
        <x:v>2026-10-27T17:00:00.000Z</x:v>
      </x:c>
      <x:c r="F370" s="10" t="d">
        <x:v>2026-10-27T19:00:00.000Z</x:v>
      </x:c>
      <x:c r="G370" s="2" t="str">
        <x:f>IF(F370&lt;=E370,"Đúng hẹn","Trễ hẹn")</x:f>
        <x:v>Trễ hẹn</x:v>
      </x:c>
    </x:row>
    <x:row r="371" ht="24" customHeight="1">
      <x:c r="A371" s="11" t="str">
        <x:v>FM000370</x:v>
      </x:c>
      <x:c r="B371" s="12" t="str">
        <x:f>TRIM(CLEAN(SUBSTITUTE(A371,CHAR(160)," ")))</x:f>
        <x:v>FM000370</x:v>
      </x:c>
      <x:c r="C371" s="14" t="n">
        <x:f>IF(B371="","Thiếu mã",IFERROR(VLOOKUP(B371,'GiaCuoc'!$A$2:$B$501,2,FALSE),"Cần kiểm tra mã"))</x:f>
        <x:v>45000</x:v>
      </x:c>
      <x:c r="D371" s="2" t="str">
        <x:v>Liên tỉnh</x:v>
      </x:c>
      <x:c r="E371" s="10" t="d">
        <x:v>2026-10-27T17:00:00.000Z</x:v>
      </x:c>
      <x:c r="F371" s="10" t="d">
        <x:v>2026-10-27T19:00:00.000Z</x:v>
      </x:c>
      <x:c r="G371" s="2" t="str">
        <x:f>IF(F371&lt;=E371,"Đúng hẹn","Trễ hẹn")</x:f>
        <x:v>Trễ hẹn</x:v>
      </x:c>
    </x:row>
    <x:row r="372" ht="24" customHeight="1">
      <x:c r="A372" s="11" t="str">
        <x:v>FM000371</x:v>
      </x:c>
      <x:c r="B372" s="12" t="str">
        <x:f>TRIM(CLEAN(SUBSTITUTE(A372,CHAR(160)," ")))</x:f>
        <x:v>FM000371</x:v>
      </x:c>
      <x:c r="C372" s="14" t="n">
        <x:f>IF(B372="","Thiếu mã",IFERROR(VLOOKUP(B372,'GiaCuoc'!$A$2:$B$501,2,FALSE),"Cần kiểm tra mã"))</x:f>
        <x:v>45000</x:v>
      </x:c>
      <x:c r="D372" s="2" t="str">
        <x:v>Liên tỉnh</x:v>
      </x:c>
      <x:c r="E372" s="10" t="d">
        <x:v>2026-10-27T17:00:00.000Z</x:v>
      </x:c>
      <x:c r="F372" s="10" t="d">
        <x:v>2026-10-27T19:00:00.000Z</x:v>
      </x:c>
      <x:c r="G372" s="2" t="str">
        <x:f>IF(F372&lt;=E372,"Đúng hẹn","Trễ hẹn")</x:f>
        <x:v>Trễ hẹn</x:v>
      </x:c>
    </x:row>
    <x:row r="373" ht="24" customHeight="1">
      <x:c r="A373" s="11" t="str">
        <x:v>FM000372</x:v>
      </x:c>
      <x:c r="B373" s="12" t="str">
        <x:f>TRIM(CLEAN(SUBSTITUTE(A373,CHAR(160)," ")))</x:f>
        <x:v>FM000372</x:v>
      </x:c>
      <x:c r="C373" s="14" t="n">
        <x:f>IF(B373="","Thiếu mã",IFERROR(VLOOKUP(B373,'GiaCuoc'!$A$2:$B$501,2,FALSE),"Cần kiểm tra mã"))</x:f>
        <x:v>45000</x:v>
      </x:c>
      <x:c r="D373" s="2" t="str">
        <x:v>Liên tỉnh</x:v>
      </x:c>
      <x:c r="E373" s="10" t="d">
        <x:v>2026-10-27T17:00:00.000Z</x:v>
      </x:c>
      <x:c r="F373" s="10" t="d">
        <x:v>2026-10-27T19:00:00.000Z</x:v>
      </x:c>
      <x:c r="G373" s="2" t="str">
        <x:f>IF(F373&lt;=E373,"Đúng hẹn","Trễ hẹn")</x:f>
        <x:v>Trễ hẹn</x:v>
      </x:c>
    </x:row>
    <x:row r="374" ht="24" customHeight="1">
      <x:c r="A374" s="11" t="str">
        <x:v>FM000373</x:v>
      </x:c>
      <x:c r="B374" s="12" t="str">
        <x:f>TRIM(CLEAN(SUBSTITUTE(A374,CHAR(160)," ")))</x:f>
        <x:v>FM000373</x:v>
      </x:c>
      <x:c r="C374" s="14" t="n">
        <x:f>IF(B374="","Thiếu mã",IFERROR(VLOOKUP(B374,'GiaCuoc'!$A$2:$B$501,2,FALSE),"Cần kiểm tra mã"))</x:f>
        <x:v>45000</x:v>
      </x:c>
      <x:c r="D374" s="2" t="str">
        <x:v>Liên tỉnh</x:v>
      </x:c>
      <x:c r="E374" s="10" t="d">
        <x:v>2026-10-27T17:00:00.000Z</x:v>
      </x:c>
      <x:c r="F374" s="10" t="d">
        <x:v>2026-10-27T19:00:00.000Z</x:v>
      </x:c>
      <x:c r="G374" s="2" t="str">
        <x:f>IF(F374&lt;=E374,"Đúng hẹn","Trễ hẹn")</x:f>
        <x:v>Trễ hẹn</x:v>
      </x:c>
    </x:row>
    <x:row r="375" ht="24" customHeight="1">
      <x:c r="A375" s="11" t="str">
        <x:v>FM000374</x:v>
      </x:c>
      <x:c r="B375" s="12" t="str">
        <x:f>TRIM(CLEAN(SUBSTITUTE(A375,CHAR(160)," ")))</x:f>
        <x:v>FM000374</x:v>
      </x:c>
      <x:c r="C375" s="14" t="n">
        <x:f>IF(B375="","Thiếu mã",IFERROR(VLOOKUP(B375,'GiaCuoc'!$A$2:$B$501,2,FALSE),"Cần kiểm tra mã"))</x:f>
        <x:v>45000</x:v>
      </x:c>
      <x:c r="D375" s="2" t="str">
        <x:v>Liên tỉnh</x:v>
      </x:c>
      <x:c r="E375" s="10" t="d">
        <x:v>2026-10-27T17:00:00.000Z</x:v>
      </x:c>
      <x:c r="F375" s="10" t="d">
        <x:v>2026-10-27T19:00:00.000Z</x:v>
      </x:c>
      <x:c r="G375" s="2" t="str">
        <x:f>IF(F375&lt;=E375,"Đúng hẹn","Trễ hẹn")</x:f>
        <x:v>Trễ hẹn</x:v>
      </x:c>
    </x:row>
    <x:row r="376" ht="24" customHeight="1">
      <x:c r="A376" s="11" t="str">
        <x:v>FM000375</x:v>
      </x:c>
      <x:c r="B376" s="12" t="str">
        <x:f>TRIM(CLEAN(SUBSTITUTE(A376,CHAR(160)," ")))</x:f>
        <x:v>FM000375</x:v>
      </x:c>
      <x:c r="C376" s="14" t="n">
        <x:f>IF(B376="","Thiếu mã",IFERROR(VLOOKUP(B376,'GiaCuoc'!$A$2:$B$501,2,FALSE),"Cần kiểm tra mã"))</x:f>
        <x:v>45000</x:v>
      </x:c>
      <x:c r="D376" s="2" t="str">
        <x:v>Liên tỉnh</x:v>
      </x:c>
      <x:c r="E376" s="10" t="d">
        <x:v>2026-10-27T17:00:00.000Z</x:v>
      </x:c>
      <x:c r="F376" s="10" t="d">
        <x:v>2026-10-27T19:00:00.000Z</x:v>
      </x:c>
      <x:c r="G376" s="2" t="str">
        <x:f>IF(F376&lt;=E376,"Đúng hẹn","Trễ hẹn")</x:f>
        <x:v>Trễ hẹn</x:v>
      </x:c>
    </x:row>
    <x:row r="377" ht="24" customHeight="1">
      <x:c r="A377" s="11" t="str">
        <x:v>FM000376</x:v>
      </x:c>
      <x:c r="B377" s="12" t="str">
        <x:f>TRIM(CLEAN(SUBSTITUTE(A377,CHAR(160)," ")))</x:f>
        <x:v>FM000376</x:v>
      </x:c>
      <x:c r="C377" s="14" t="n">
        <x:f>IF(B377="","Thiếu mã",IFERROR(VLOOKUP(B377,'GiaCuoc'!$A$2:$B$501,2,FALSE),"Cần kiểm tra mã"))</x:f>
        <x:v>55000</x:v>
      </x:c>
      <x:c r="D377" s="2" t="str">
        <x:v>Vùng xa</x:v>
      </x:c>
      <x:c r="E377" s="10" t="d">
        <x:v>2026-10-27T17:00:00.000Z</x:v>
      </x:c>
      <x:c r="F377" s="10" t="d">
        <x:v>2026-10-27T16:00:00.000Z</x:v>
      </x:c>
      <x:c r="G377" s="2" t="str">
        <x:f>IF(F377&lt;=E377,"Đúng hẹn","Trễ hẹn")</x:f>
        <x:v>Đúng hẹn</x:v>
      </x:c>
    </x:row>
    <x:row r="378" ht="24" customHeight="1">
      <x:c r="A378" s="11" t="str">
        <x:v>FM000377</x:v>
      </x:c>
      <x:c r="B378" s="12" t="str">
        <x:f>TRIM(CLEAN(SUBSTITUTE(A378,CHAR(160)," ")))</x:f>
        <x:v>FM000377</x:v>
      </x:c>
      <x:c r="C378" s="14" t="n">
        <x:f>IF(B378="","Thiếu mã",IFERROR(VLOOKUP(B378,'GiaCuoc'!$A$2:$B$501,2,FALSE),"Cần kiểm tra mã"))</x:f>
        <x:v>55000</x:v>
      </x:c>
      <x:c r="D378" s="2" t="str">
        <x:v>Vùng xa</x:v>
      </x:c>
      <x:c r="E378" s="10" t="d">
        <x:v>2026-10-27T17:00:00.000Z</x:v>
      </x:c>
      <x:c r="F378" s="10" t="d">
        <x:v>2026-10-27T16:00:00.000Z</x:v>
      </x:c>
      <x:c r="G378" s="2" t="str">
        <x:f>IF(F378&lt;=E378,"Đúng hẹn","Trễ hẹn")</x:f>
        <x:v>Đúng hẹn</x:v>
      </x:c>
    </x:row>
    <x:row r="379" ht="24" customHeight="1">
      <x:c r="A379" s="11" t="str">
        <x:v>FM000378</x:v>
      </x:c>
      <x:c r="B379" s="12" t="str">
        <x:f>TRIM(CLEAN(SUBSTITUTE(A379,CHAR(160)," ")))</x:f>
        <x:v>FM000378</x:v>
      </x:c>
      <x:c r="C379" s="14" t="n">
        <x:f>IF(B379="","Thiếu mã",IFERROR(VLOOKUP(B379,'GiaCuoc'!$A$2:$B$501,2,FALSE),"Cần kiểm tra mã"))</x:f>
        <x:v>55000</x:v>
      </x:c>
      <x:c r="D379" s="2" t="str">
        <x:v>Vùng xa</x:v>
      </x:c>
      <x:c r="E379" s="10" t="d">
        <x:v>2026-10-27T17:00:00.000Z</x:v>
      </x:c>
      <x:c r="F379" s="10" t="d">
        <x:v>2026-10-27T16:00:00.000Z</x:v>
      </x:c>
      <x:c r="G379" s="2" t="str">
        <x:f>IF(F379&lt;=E379,"Đúng hẹn","Trễ hẹn")</x:f>
        <x:v>Đúng hẹn</x:v>
      </x:c>
    </x:row>
    <x:row r="380" ht="24" customHeight="1">
      <x:c r="A380" s="11" t="str">
        <x:v>FM000379</x:v>
      </x:c>
      <x:c r="B380" s="12" t="str">
        <x:f>TRIM(CLEAN(SUBSTITUTE(A380,CHAR(160)," ")))</x:f>
        <x:v>FM000379</x:v>
      </x:c>
      <x:c r="C380" s="14" t="n">
        <x:f>IF(B380="","Thiếu mã",IFERROR(VLOOKUP(B380,'GiaCuoc'!$A$2:$B$501,2,FALSE),"Cần kiểm tra mã"))</x:f>
        <x:v>55000</x:v>
      </x:c>
      <x:c r="D380" s="2" t="str">
        <x:v>Vùng xa</x:v>
      </x:c>
      <x:c r="E380" s="10" t="d">
        <x:v>2026-10-27T17:00:00.000Z</x:v>
      </x:c>
      <x:c r="F380" s="10" t="d">
        <x:v>2026-10-27T16:00:00.000Z</x:v>
      </x:c>
      <x:c r="G380" s="2" t="str">
        <x:f>IF(F380&lt;=E380,"Đúng hẹn","Trễ hẹn")</x:f>
        <x:v>Đúng hẹn</x:v>
      </x:c>
    </x:row>
    <x:row r="381" ht="24" customHeight="1">
      <x:c r="A381" s="11" t="str">
        <x:v>FM000380</x:v>
      </x:c>
      <x:c r="B381" s="12" t="str">
        <x:f>TRIM(CLEAN(SUBSTITUTE(A381,CHAR(160)," ")))</x:f>
        <x:v>FM000380</x:v>
      </x:c>
      <x:c r="C381" s="14" t="n">
        <x:f>IF(B381="","Thiếu mã",IFERROR(VLOOKUP(B381,'GiaCuoc'!$A$2:$B$501,2,FALSE),"Cần kiểm tra mã"))</x:f>
        <x:v>55000</x:v>
      </x:c>
      <x:c r="D381" s="2" t="str">
        <x:v>Vùng xa</x:v>
      </x:c>
      <x:c r="E381" s="10" t="d">
        <x:v>2026-10-27T17:00:00.000Z</x:v>
      </x:c>
      <x:c r="F381" s="10" t="d">
        <x:v>2026-10-27T16:00:00.000Z</x:v>
      </x:c>
      <x:c r="G381" s="2" t="str">
        <x:f>IF(F381&lt;=E381,"Đúng hẹn","Trễ hẹn")</x:f>
        <x:v>Đúng hẹn</x:v>
      </x:c>
    </x:row>
    <x:row r="382" ht="24" customHeight="1">
      <x:c r="A382" s="11" t="str">
        <x:v>FM000381</x:v>
      </x:c>
      <x:c r="B382" s="12" t="str">
        <x:f>TRIM(CLEAN(SUBSTITUTE(A382,CHAR(160)," ")))</x:f>
        <x:v>FM000381</x:v>
      </x:c>
      <x:c r="C382" s="14" t="n">
        <x:f>IF(B382="","Thiếu mã",IFERROR(VLOOKUP(B382,'GiaCuoc'!$A$2:$B$501,2,FALSE),"Cần kiểm tra mã"))</x:f>
        <x:v>55000</x:v>
      </x:c>
      <x:c r="D382" s="2" t="str">
        <x:v>Vùng xa</x:v>
      </x:c>
      <x:c r="E382" s="10" t="d">
        <x:v>2026-10-27T17:00:00.000Z</x:v>
      </x:c>
      <x:c r="F382" s="10" t="d">
        <x:v>2026-10-27T16:00:00.000Z</x:v>
      </x:c>
      <x:c r="G382" s="2" t="str">
        <x:f>IF(F382&lt;=E382,"Đúng hẹn","Trễ hẹn")</x:f>
        <x:v>Đúng hẹn</x:v>
      </x:c>
    </x:row>
    <x:row r="383" ht="24" customHeight="1">
      <x:c r="A383" s="11" t="str">
        <x:v>FM000382</x:v>
      </x:c>
      <x:c r="B383" s="12" t="str">
        <x:f>TRIM(CLEAN(SUBSTITUTE(A383,CHAR(160)," ")))</x:f>
        <x:v>FM000382</x:v>
      </x:c>
      <x:c r="C383" s="14" t="n">
        <x:f>IF(B383="","Thiếu mã",IFERROR(VLOOKUP(B383,'GiaCuoc'!$A$2:$B$501,2,FALSE),"Cần kiểm tra mã"))</x:f>
        <x:v>55000</x:v>
      </x:c>
      <x:c r="D383" s="2" t="str">
        <x:v>Vùng xa</x:v>
      </x:c>
      <x:c r="E383" s="10" t="d">
        <x:v>2026-10-27T17:00:00.000Z</x:v>
      </x:c>
      <x:c r="F383" s="10" t="d">
        <x:v>2026-10-27T16:00:00.000Z</x:v>
      </x:c>
      <x:c r="G383" s="2" t="str">
        <x:f>IF(F383&lt;=E383,"Đúng hẹn","Trễ hẹn")</x:f>
        <x:v>Đúng hẹn</x:v>
      </x:c>
    </x:row>
    <x:row r="384" ht="24" customHeight="1">
      <x:c r="A384" s="11" t="str">
        <x:v>FM000383</x:v>
      </x:c>
      <x:c r="B384" s="12" t="str">
        <x:f>TRIM(CLEAN(SUBSTITUTE(A384,CHAR(160)," ")))</x:f>
        <x:v>FM000383</x:v>
      </x:c>
      <x:c r="C384" s="14" t="n">
        <x:f>IF(B384="","Thiếu mã",IFERROR(VLOOKUP(B384,'GiaCuoc'!$A$2:$B$501,2,FALSE),"Cần kiểm tra mã"))</x:f>
        <x:v>55000</x:v>
      </x:c>
      <x:c r="D384" s="2" t="str">
        <x:v>Vùng xa</x:v>
      </x:c>
      <x:c r="E384" s="10" t="d">
        <x:v>2026-10-27T17:00:00.000Z</x:v>
      </x:c>
      <x:c r="F384" s="10" t="d">
        <x:v>2026-10-27T16:00:00.000Z</x:v>
      </x:c>
      <x:c r="G384" s="2" t="str">
        <x:f>IF(F384&lt;=E384,"Đúng hẹn","Trễ hẹn")</x:f>
        <x:v>Đúng hẹn</x:v>
      </x:c>
    </x:row>
    <x:row r="385" ht="24" customHeight="1">
      <x:c r="A385" s="11" t="str">
        <x:v>FM000384</x:v>
      </x:c>
      <x:c r="B385" s="12" t="str">
        <x:f>TRIM(CLEAN(SUBSTITUTE(A385,CHAR(160)," ")))</x:f>
        <x:v>FM000384</x:v>
      </x:c>
      <x:c r="C385" s="14" t="n">
        <x:f>IF(B385="","Thiếu mã",IFERROR(VLOOKUP(B385,'GiaCuoc'!$A$2:$B$501,2,FALSE),"Cần kiểm tra mã"))</x:f>
        <x:v>55000</x:v>
      </x:c>
      <x:c r="D385" s="2" t="str">
        <x:v>Vùng xa</x:v>
      </x:c>
      <x:c r="E385" s="10" t="d">
        <x:v>2026-10-27T17:00:00.000Z</x:v>
      </x:c>
      <x:c r="F385" s="10" t="d">
        <x:v>2026-10-27T16:00:00.000Z</x:v>
      </x:c>
      <x:c r="G385" s="2" t="str">
        <x:f>IF(F385&lt;=E385,"Đúng hẹn","Trễ hẹn")</x:f>
        <x:v>Đúng hẹn</x:v>
      </x:c>
    </x:row>
    <x:row r="386" ht="24" customHeight="1">
      <x:c r="A386" s="11" t="str">
        <x:v>FM000385</x:v>
      </x:c>
      <x:c r="B386" s="12" t="str">
        <x:f>TRIM(CLEAN(SUBSTITUTE(A386,CHAR(160)," ")))</x:f>
        <x:v>FM000385</x:v>
      </x:c>
      <x:c r="C386" s="14" t="n">
        <x:f>IF(B386="","Thiếu mã",IFERROR(VLOOKUP(B386,'GiaCuoc'!$A$2:$B$501,2,FALSE),"Cần kiểm tra mã"))</x:f>
        <x:v>55000</x:v>
      </x:c>
      <x:c r="D386" s="2" t="str">
        <x:v>Vùng xa</x:v>
      </x:c>
      <x:c r="E386" s="10" t="d">
        <x:v>2026-10-27T17:00:00.000Z</x:v>
      </x:c>
      <x:c r="F386" s="10" t="d">
        <x:v>2026-10-27T16:00:00.000Z</x:v>
      </x:c>
      <x:c r="G386" s="2" t="str">
        <x:f>IF(F386&lt;=E386,"Đúng hẹn","Trễ hẹn")</x:f>
        <x:v>Đúng hẹn</x:v>
      </x:c>
    </x:row>
    <x:row r="387" ht="24" customHeight="1">
      <x:c r="A387" s="11" t="str">
        <x:v>FM000386</x:v>
      </x:c>
      <x:c r="B387" s="12" t="str">
        <x:f>TRIM(CLEAN(SUBSTITUTE(A387,CHAR(160)," ")))</x:f>
        <x:v>FM000386</x:v>
      </x:c>
      <x:c r="C387" s="14" t="n">
        <x:f>IF(B387="","Thiếu mã",IFERROR(VLOOKUP(B387,'GiaCuoc'!$A$2:$B$501,2,FALSE),"Cần kiểm tra mã"))</x:f>
        <x:v>55000</x:v>
      </x:c>
      <x:c r="D387" s="2" t="str">
        <x:v>Vùng xa</x:v>
      </x:c>
      <x:c r="E387" s="10" t="d">
        <x:v>2026-10-27T17:00:00.000Z</x:v>
      </x:c>
      <x:c r="F387" s="10" t="d">
        <x:v>2026-10-27T16:00:00.000Z</x:v>
      </x:c>
      <x:c r="G387" s="2" t="str">
        <x:f>IF(F387&lt;=E387,"Đúng hẹn","Trễ hẹn")</x:f>
        <x:v>Đúng hẹn</x:v>
      </x:c>
    </x:row>
    <x:row r="388" ht="24" customHeight="1">
      <x:c r="A388" s="11" t="str">
        <x:v>FM000387</x:v>
      </x:c>
      <x:c r="B388" s="12" t="str">
        <x:f>TRIM(CLEAN(SUBSTITUTE(A388,CHAR(160)," ")))</x:f>
        <x:v>FM000387</x:v>
      </x:c>
      <x:c r="C388" s="14" t="n">
        <x:f>IF(B388="","Thiếu mã",IFERROR(VLOOKUP(B388,'GiaCuoc'!$A$2:$B$501,2,FALSE),"Cần kiểm tra mã"))</x:f>
        <x:v>55000</x:v>
      </x:c>
      <x:c r="D388" s="2" t="str">
        <x:v>Vùng xa</x:v>
      </x:c>
      <x:c r="E388" s="10" t="d">
        <x:v>2026-10-27T17:00:00.000Z</x:v>
      </x:c>
      <x:c r="F388" s="10" t="d">
        <x:v>2026-10-27T16:00:00.000Z</x:v>
      </x:c>
      <x:c r="G388" s="2" t="str">
        <x:f>IF(F388&lt;=E388,"Đúng hẹn","Trễ hẹn")</x:f>
        <x:v>Đúng hẹn</x:v>
      </x:c>
    </x:row>
    <x:row r="389" ht="24" customHeight="1">
      <x:c r="A389" s="11" t="str">
        <x:v>FM000388</x:v>
      </x:c>
      <x:c r="B389" s="12" t="str">
        <x:f>TRIM(CLEAN(SUBSTITUTE(A389,CHAR(160)," ")))</x:f>
        <x:v>FM000388</x:v>
      </x:c>
      <x:c r="C389" s="14" t="n">
        <x:f>IF(B389="","Thiếu mã",IFERROR(VLOOKUP(B389,'GiaCuoc'!$A$2:$B$501,2,FALSE),"Cần kiểm tra mã"))</x:f>
        <x:v>55000</x:v>
      </x:c>
      <x:c r="D389" s="2" t="str">
        <x:v>Vùng xa</x:v>
      </x:c>
      <x:c r="E389" s="10" t="d">
        <x:v>2026-10-27T17:00:00.000Z</x:v>
      </x:c>
      <x:c r="F389" s="10" t="d">
        <x:v>2026-10-27T16:00:00.000Z</x:v>
      </x:c>
      <x:c r="G389" s="2" t="str">
        <x:f>IF(F389&lt;=E389,"Đúng hẹn","Trễ hẹn")</x:f>
        <x:v>Đúng hẹn</x:v>
      </x:c>
    </x:row>
    <x:row r="390" ht="24" customHeight="1">
      <x:c r="A390" s="11" t="str">
        <x:v>FM000389</x:v>
      </x:c>
      <x:c r="B390" s="12" t="str">
        <x:f>TRIM(CLEAN(SUBSTITUTE(A390,CHAR(160)," ")))</x:f>
        <x:v>FM000389</x:v>
      </x:c>
      <x:c r="C390" s="14" t="n">
        <x:f>IF(B390="","Thiếu mã",IFERROR(VLOOKUP(B390,'GiaCuoc'!$A$2:$B$501,2,FALSE),"Cần kiểm tra mã"))</x:f>
        <x:v>55000</x:v>
      </x:c>
      <x:c r="D390" s="2" t="str">
        <x:v>Vùng xa</x:v>
      </x:c>
      <x:c r="E390" s="10" t="d">
        <x:v>2026-10-27T17:00:00.000Z</x:v>
      </x:c>
      <x:c r="F390" s="10" t="d">
        <x:v>2026-10-27T16:00:00.000Z</x:v>
      </x:c>
      <x:c r="G390" s="2" t="str">
        <x:f>IF(F390&lt;=E390,"Đúng hẹn","Trễ hẹn")</x:f>
        <x:v>Đúng hẹn</x:v>
      </x:c>
    </x:row>
    <x:row r="391" ht="24" customHeight="1">
      <x:c r="A391" s="11" t="str">
        <x:v>FM000390</x:v>
      </x:c>
      <x:c r="B391" s="12" t="str">
        <x:f>TRIM(CLEAN(SUBSTITUTE(A391,CHAR(160)," ")))</x:f>
        <x:v>FM000390</x:v>
      </x:c>
      <x:c r="C391" s="14" t="n">
        <x:f>IF(B391="","Thiếu mã",IFERROR(VLOOKUP(B391,'GiaCuoc'!$A$2:$B$501,2,FALSE),"Cần kiểm tra mã"))</x:f>
        <x:v>55000</x:v>
      </x:c>
      <x:c r="D391" s="2" t="str">
        <x:v>Vùng xa</x:v>
      </x:c>
      <x:c r="E391" s="10" t="d">
        <x:v>2026-10-27T17:00:00.000Z</x:v>
      </x:c>
      <x:c r="F391" s="10" t="d">
        <x:v>2026-10-27T16:00:00.000Z</x:v>
      </x:c>
      <x:c r="G391" s="2" t="str">
        <x:f>IF(F391&lt;=E391,"Đúng hẹn","Trễ hẹn")</x:f>
        <x:v>Đúng hẹn</x:v>
      </x:c>
    </x:row>
    <x:row r="392" ht="24" customHeight="1">
      <x:c r="A392" s="11" t="str">
        <x:v>FM000391</x:v>
      </x:c>
      <x:c r="B392" s="12" t="str">
        <x:f>TRIM(CLEAN(SUBSTITUTE(A392,CHAR(160)," ")))</x:f>
        <x:v>FM000391</x:v>
      </x:c>
      <x:c r="C392" s="14" t="n">
        <x:f>IF(B392="","Thiếu mã",IFERROR(VLOOKUP(B392,'GiaCuoc'!$A$2:$B$501,2,FALSE),"Cần kiểm tra mã"))</x:f>
        <x:v>55000</x:v>
      </x:c>
      <x:c r="D392" s="2" t="str">
        <x:v>Vùng xa</x:v>
      </x:c>
      <x:c r="E392" s="10" t="d">
        <x:v>2026-10-27T17:00:00.000Z</x:v>
      </x:c>
      <x:c r="F392" s="10" t="d">
        <x:v>2026-10-27T16:00:00.000Z</x:v>
      </x:c>
      <x:c r="G392" s="2" t="str">
        <x:f>IF(F392&lt;=E392,"Đúng hẹn","Trễ hẹn")</x:f>
        <x:v>Đúng hẹn</x:v>
      </x:c>
    </x:row>
    <x:row r="393" ht="24" customHeight="1">
      <x:c r="A393" s="11" t="str">
        <x:v>FM000392</x:v>
      </x:c>
      <x:c r="B393" s="12" t="str">
        <x:f>TRIM(CLEAN(SUBSTITUTE(A393,CHAR(160)," ")))</x:f>
        <x:v>FM000392</x:v>
      </x:c>
      <x:c r="C393" s="14" t="n">
        <x:f>IF(B393="","Thiếu mã",IFERROR(VLOOKUP(B393,'GiaCuoc'!$A$2:$B$501,2,FALSE),"Cần kiểm tra mã"))</x:f>
        <x:v>55000</x:v>
      </x:c>
      <x:c r="D393" s="2" t="str">
        <x:v>Vùng xa</x:v>
      </x:c>
      <x:c r="E393" s="10" t="d">
        <x:v>2026-10-27T17:00:00.000Z</x:v>
      </x:c>
      <x:c r="F393" s="10" t="d">
        <x:v>2026-10-27T16:00:00.000Z</x:v>
      </x:c>
      <x:c r="G393" s="2" t="str">
        <x:f>IF(F393&lt;=E393,"Đúng hẹn","Trễ hẹn")</x:f>
        <x:v>Đúng hẹn</x:v>
      </x:c>
    </x:row>
    <x:row r="394" ht="24" customHeight="1">
      <x:c r="A394" s="11" t="str">
        <x:v>FM000393</x:v>
      </x:c>
      <x:c r="B394" s="12" t="str">
        <x:f>TRIM(CLEAN(SUBSTITUTE(A394,CHAR(160)," ")))</x:f>
        <x:v>FM000393</x:v>
      </x:c>
      <x:c r="C394" s="14" t="n">
        <x:f>IF(B394="","Thiếu mã",IFERROR(VLOOKUP(B394,'GiaCuoc'!$A$2:$B$501,2,FALSE),"Cần kiểm tra mã"))</x:f>
        <x:v>55000</x:v>
      </x:c>
      <x:c r="D394" s="2" t="str">
        <x:v>Vùng xa</x:v>
      </x:c>
      <x:c r="E394" s="10" t="d">
        <x:v>2026-10-27T17:00:00.000Z</x:v>
      </x:c>
      <x:c r="F394" s="10" t="d">
        <x:v>2026-10-27T16:00:00.000Z</x:v>
      </x:c>
      <x:c r="G394" s="2" t="str">
        <x:f>IF(F394&lt;=E394,"Đúng hẹn","Trễ hẹn")</x:f>
        <x:v>Đúng hẹn</x:v>
      </x:c>
    </x:row>
    <x:row r="395" ht="24" customHeight="1">
      <x:c r="A395" s="11" t="str">
        <x:v>FM000394</x:v>
      </x:c>
      <x:c r="B395" s="12" t="str">
        <x:f>TRIM(CLEAN(SUBSTITUTE(A395,CHAR(160)," ")))</x:f>
        <x:v>FM000394</x:v>
      </x:c>
      <x:c r="C395" s="14" t="n">
        <x:f>IF(B395="","Thiếu mã",IFERROR(VLOOKUP(B395,'GiaCuoc'!$A$2:$B$501,2,FALSE),"Cần kiểm tra mã"))</x:f>
        <x:v>55000</x:v>
      </x:c>
      <x:c r="D395" s="2" t="str">
        <x:v>Vùng xa</x:v>
      </x:c>
      <x:c r="E395" s="10" t="d">
        <x:v>2026-10-27T17:00:00.000Z</x:v>
      </x:c>
      <x:c r="F395" s="10" t="d">
        <x:v>2026-10-27T16:00:00.000Z</x:v>
      </x:c>
      <x:c r="G395" s="2" t="str">
        <x:f>IF(F395&lt;=E395,"Đúng hẹn","Trễ hẹn")</x:f>
        <x:v>Đúng hẹn</x:v>
      </x:c>
    </x:row>
    <x:row r="396" ht="24" customHeight="1">
      <x:c r="A396" s="11" t="str">
        <x:v>FM000395</x:v>
      </x:c>
      <x:c r="B396" s="12" t="str">
        <x:f>TRIM(CLEAN(SUBSTITUTE(A396,CHAR(160)," ")))</x:f>
        <x:v>FM000395</x:v>
      </x:c>
      <x:c r="C396" s="14" t="n">
        <x:f>IF(B396="","Thiếu mã",IFERROR(VLOOKUP(B396,'GiaCuoc'!$A$2:$B$501,2,FALSE),"Cần kiểm tra mã"))</x:f>
        <x:v>55000</x:v>
      </x:c>
      <x:c r="D396" s="2" t="str">
        <x:v>Vùng xa</x:v>
      </x:c>
      <x:c r="E396" s="10" t="d">
        <x:v>2026-10-27T17:00:00.000Z</x:v>
      </x:c>
      <x:c r="F396" s="10" t="d">
        <x:v>2026-10-27T16:00:00.000Z</x:v>
      </x:c>
      <x:c r="G396" s="2" t="str">
        <x:f>IF(F396&lt;=E396,"Đúng hẹn","Trễ hẹn")</x:f>
        <x:v>Đúng hẹn</x:v>
      </x:c>
    </x:row>
    <x:row r="397" ht="24" customHeight="1">
      <x:c r="A397" s="11" t="str">
        <x:v>FM000396</x:v>
      </x:c>
      <x:c r="B397" s="12" t="str">
        <x:f>TRIM(CLEAN(SUBSTITUTE(A397,CHAR(160)," ")))</x:f>
        <x:v>FM000396</x:v>
      </x:c>
      <x:c r="C397" s="14" t="n">
        <x:f>IF(B397="","Thiếu mã",IFERROR(VLOOKUP(B397,'GiaCuoc'!$A$2:$B$501,2,FALSE),"Cần kiểm tra mã"))</x:f>
        <x:v>55000</x:v>
      </x:c>
      <x:c r="D397" s="2" t="str">
        <x:v>Vùng xa</x:v>
      </x:c>
      <x:c r="E397" s="10" t="d">
        <x:v>2026-10-27T17:00:00.000Z</x:v>
      </x:c>
      <x:c r="F397" s="10" t="d">
        <x:v>2026-10-27T16:00:00.000Z</x:v>
      </x:c>
      <x:c r="G397" s="2" t="str">
        <x:f>IF(F397&lt;=E397,"Đúng hẹn","Trễ hẹn")</x:f>
        <x:v>Đúng hẹn</x:v>
      </x:c>
    </x:row>
    <x:row r="398" ht="24" customHeight="1">
      <x:c r="A398" s="11" t="str">
        <x:v>FM000397</x:v>
      </x:c>
      <x:c r="B398" s="12" t="str">
        <x:f>TRIM(CLEAN(SUBSTITUTE(A398,CHAR(160)," ")))</x:f>
        <x:v>FM000397</x:v>
      </x:c>
      <x:c r="C398" s="14" t="n">
        <x:f>IF(B398="","Thiếu mã",IFERROR(VLOOKUP(B398,'GiaCuoc'!$A$2:$B$501,2,FALSE),"Cần kiểm tra mã"))</x:f>
        <x:v>55000</x:v>
      </x:c>
      <x:c r="D398" s="2" t="str">
        <x:v>Vùng xa</x:v>
      </x:c>
      <x:c r="E398" s="10" t="d">
        <x:v>2026-10-27T17:00:00.000Z</x:v>
      </x:c>
      <x:c r="F398" s="10" t="d">
        <x:v>2026-10-27T16:00:00.000Z</x:v>
      </x:c>
      <x:c r="G398" s="2" t="str">
        <x:f>IF(F398&lt;=E398,"Đúng hẹn","Trễ hẹn")</x:f>
        <x:v>Đúng hẹn</x:v>
      </x:c>
    </x:row>
    <x:row r="399" ht="24" customHeight="1">
      <x:c r="A399" s="11" t="str">
        <x:v>FM000398</x:v>
      </x:c>
      <x:c r="B399" s="12" t="str">
        <x:f>TRIM(CLEAN(SUBSTITUTE(A399,CHAR(160)," ")))</x:f>
        <x:v>FM000398</x:v>
      </x:c>
      <x:c r="C399" s="14" t="n">
        <x:f>IF(B399="","Thiếu mã",IFERROR(VLOOKUP(B399,'GiaCuoc'!$A$2:$B$501,2,FALSE),"Cần kiểm tra mã"))</x:f>
        <x:v>55000</x:v>
      </x:c>
      <x:c r="D399" s="2" t="str">
        <x:v>Vùng xa</x:v>
      </x:c>
      <x:c r="E399" s="10" t="d">
        <x:v>2026-10-27T17:00:00.000Z</x:v>
      </x:c>
      <x:c r="F399" s="10" t="d">
        <x:v>2026-10-27T16:00:00.000Z</x:v>
      </x:c>
      <x:c r="G399" s="2" t="str">
        <x:f>IF(F399&lt;=E399,"Đúng hẹn","Trễ hẹn")</x:f>
        <x:v>Đúng hẹn</x:v>
      </x:c>
    </x:row>
    <x:row r="400" ht="24" customHeight="1">
      <x:c r="A400" s="11" t="str">
        <x:v>FM000399</x:v>
      </x:c>
      <x:c r="B400" s="12" t="str">
        <x:f>TRIM(CLEAN(SUBSTITUTE(A400,CHAR(160)," ")))</x:f>
        <x:v>FM000399</x:v>
      </x:c>
      <x:c r="C400" s="14" t="n">
        <x:f>IF(B400="","Thiếu mã",IFERROR(VLOOKUP(B400,'GiaCuoc'!$A$2:$B$501,2,FALSE),"Cần kiểm tra mã"))</x:f>
        <x:v>55000</x:v>
      </x:c>
      <x:c r="D400" s="2" t="str">
        <x:v>Vùng xa</x:v>
      </x:c>
      <x:c r="E400" s="10" t="d">
        <x:v>2026-10-27T17:00:00.000Z</x:v>
      </x:c>
      <x:c r="F400" s="10" t="d">
        <x:v>2026-10-27T16:00:00.000Z</x:v>
      </x:c>
      <x:c r="G400" s="2" t="str">
        <x:f>IF(F400&lt;=E400,"Đúng hẹn","Trễ hẹn")</x:f>
        <x:v>Đúng hẹn</x:v>
      </x:c>
    </x:row>
    <x:row r="401" ht="24" customHeight="1">
      <x:c r="A401" s="11" t="str">
        <x:v>FM000400</x:v>
      </x:c>
      <x:c r="B401" s="12" t="str">
        <x:f>TRIM(CLEAN(SUBSTITUTE(A401,CHAR(160)," ")))</x:f>
        <x:v>FM000400</x:v>
      </x:c>
      <x:c r="C401" s="14" t="n">
        <x:f>IF(B401="","Thiếu mã",IFERROR(VLOOKUP(B401,'GiaCuoc'!$A$2:$B$501,2,FALSE),"Cần kiểm tra mã"))</x:f>
        <x:v>55000</x:v>
      </x:c>
      <x:c r="D401" s="2" t="str">
        <x:v>Vùng xa</x:v>
      </x:c>
      <x:c r="E401" s="10" t="d">
        <x:v>2026-10-27T17:00:00.000Z</x:v>
      </x:c>
      <x:c r="F401" s="10" t="d">
        <x:v>2026-10-27T16:00:00.000Z</x:v>
      </x:c>
      <x:c r="G401" s="2" t="str">
        <x:f>IF(F401&lt;=E401,"Đúng hẹn","Trễ hẹn")</x:f>
        <x:v>Đúng hẹn</x:v>
      </x:c>
    </x:row>
    <x:row r="402" ht="24" customHeight="1">
      <x:c r="A402" s="11" t="str">
        <x:v>FM000401</x:v>
      </x:c>
      <x:c r="B402" s="12" t="str">
        <x:f>TRIM(CLEAN(SUBSTITUTE(A402,CHAR(160)," ")))</x:f>
        <x:v>FM000401</x:v>
      </x:c>
      <x:c r="C402" s="14" t="n">
        <x:f>IF(B402="","Thiếu mã",IFERROR(VLOOKUP(B402,'GiaCuoc'!$A$2:$B$501,2,FALSE),"Cần kiểm tra mã"))</x:f>
        <x:v>55000</x:v>
      </x:c>
      <x:c r="D402" s="2" t="str">
        <x:v>Vùng xa</x:v>
      </x:c>
      <x:c r="E402" s="10" t="d">
        <x:v>2026-10-27T17:00:00.000Z</x:v>
      </x:c>
      <x:c r="F402" s="10" t="d">
        <x:v>2026-10-27T16:00:00.000Z</x:v>
      </x:c>
      <x:c r="G402" s="2" t="str">
        <x:f>IF(F402&lt;=E402,"Đúng hẹn","Trễ hẹn")</x:f>
        <x:v>Đúng hẹn</x:v>
      </x:c>
    </x:row>
    <x:row r="403" ht="24" customHeight="1">
      <x:c r="A403" s="11" t="str">
        <x:v>FM000402</x:v>
      </x:c>
      <x:c r="B403" s="12" t="str">
        <x:f>TRIM(CLEAN(SUBSTITUTE(A403,CHAR(160)," ")))</x:f>
        <x:v>FM000402</x:v>
      </x:c>
      <x:c r="C403" s="14" t="n">
        <x:f>IF(B403="","Thiếu mã",IFERROR(VLOOKUP(B403,'GiaCuoc'!$A$2:$B$501,2,FALSE),"Cần kiểm tra mã"))</x:f>
        <x:v>55000</x:v>
      </x:c>
      <x:c r="D403" s="2" t="str">
        <x:v>Vùng xa</x:v>
      </x:c>
      <x:c r="E403" s="10" t="d">
        <x:v>2026-10-27T17:00:00.000Z</x:v>
      </x:c>
      <x:c r="F403" s="10" t="d">
        <x:v>2026-10-27T16:00:00.000Z</x:v>
      </x:c>
      <x:c r="G403" s="2" t="str">
        <x:f>IF(F403&lt;=E403,"Đúng hẹn","Trễ hẹn")</x:f>
        <x:v>Đúng hẹn</x:v>
      </x:c>
    </x:row>
    <x:row r="404" ht="24" customHeight="1">
      <x:c r="A404" s="11" t="str">
        <x:v>FM000403</x:v>
      </x:c>
      <x:c r="B404" s="12" t="str">
        <x:f>TRIM(CLEAN(SUBSTITUTE(A404,CHAR(160)," ")))</x:f>
        <x:v>FM000403</x:v>
      </x:c>
      <x:c r="C404" s="14" t="n">
        <x:f>IF(B404="","Thiếu mã",IFERROR(VLOOKUP(B404,'GiaCuoc'!$A$2:$B$501,2,FALSE),"Cần kiểm tra mã"))</x:f>
        <x:v>55000</x:v>
      </x:c>
      <x:c r="D404" s="2" t="str">
        <x:v>Vùng xa</x:v>
      </x:c>
      <x:c r="E404" s="10" t="d">
        <x:v>2026-10-27T17:00:00.000Z</x:v>
      </x:c>
      <x:c r="F404" s="10" t="d">
        <x:v>2026-10-27T16:00:00.000Z</x:v>
      </x:c>
      <x:c r="G404" s="2" t="str">
        <x:f>IF(F404&lt;=E404,"Đúng hẹn","Trễ hẹn")</x:f>
        <x:v>Đúng hẹn</x:v>
      </x:c>
    </x:row>
    <x:row r="405" ht="24" customHeight="1">
      <x:c r="A405" s="11" t="str">
        <x:v>FM000404</x:v>
      </x:c>
      <x:c r="B405" s="12" t="str">
        <x:f>TRIM(CLEAN(SUBSTITUTE(A405,CHAR(160)," ")))</x:f>
        <x:v>FM000404</x:v>
      </x:c>
      <x:c r="C405" s="14" t="n">
        <x:f>IF(B405="","Thiếu mã",IFERROR(VLOOKUP(B405,'GiaCuoc'!$A$2:$B$501,2,FALSE),"Cần kiểm tra mã"))</x:f>
        <x:v>55000</x:v>
      </x:c>
      <x:c r="D405" s="2" t="str">
        <x:v>Vùng xa</x:v>
      </x:c>
      <x:c r="E405" s="10" t="d">
        <x:v>2026-10-27T17:00:00.000Z</x:v>
      </x:c>
      <x:c r="F405" s="10" t="d">
        <x:v>2026-10-27T16:00:00.000Z</x:v>
      </x:c>
      <x:c r="G405" s="2" t="str">
        <x:f>IF(F405&lt;=E405,"Đúng hẹn","Trễ hẹn")</x:f>
        <x:v>Đúng hẹn</x:v>
      </x:c>
    </x:row>
    <x:row r="406" ht="24" customHeight="1">
      <x:c r="A406" s="11" t="str">
        <x:v>FM000405</x:v>
      </x:c>
      <x:c r="B406" s="12" t="str">
        <x:f>TRIM(CLEAN(SUBSTITUTE(A406,CHAR(160)," ")))</x:f>
        <x:v>FM000405</x:v>
      </x:c>
      <x:c r="C406" s="14" t="n">
        <x:f>IF(B406="","Thiếu mã",IFERROR(VLOOKUP(B406,'GiaCuoc'!$A$2:$B$501,2,FALSE),"Cần kiểm tra mã"))</x:f>
        <x:v>55000</x:v>
      </x:c>
      <x:c r="D406" s="2" t="str">
        <x:v>Vùng xa</x:v>
      </x:c>
      <x:c r="E406" s="10" t="d">
        <x:v>2026-10-27T17:00:00.000Z</x:v>
      </x:c>
      <x:c r="F406" s="10" t="d">
        <x:v>2026-10-27T16:00:00.000Z</x:v>
      </x:c>
      <x:c r="G406" s="2" t="str">
        <x:f>IF(F406&lt;=E406,"Đúng hẹn","Trễ hẹn")</x:f>
        <x:v>Đúng hẹn</x:v>
      </x:c>
    </x:row>
    <x:row r="407" ht="24" customHeight="1">
      <x:c r="A407" s="11" t="str">
        <x:v>FM000406</x:v>
      </x:c>
      <x:c r="B407" s="12" t="str">
        <x:f>TRIM(CLEAN(SUBSTITUTE(A407,CHAR(160)," ")))</x:f>
        <x:v>FM000406</x:v>
      </x:c>
      <x:c r="C407" s="14" t="n">
        <x:f>IF(B407="","Thiếu mã",IFERROR(VLOOKUP(B407,'GiaCuoc'!$A$2:$B$501,2,FALSE),"Cần kiểm tra mã"))</x:f>
        <x:v>55000</x:v>
      </x:c>
      <x:c r="D407" s="2" t="str">
        <x:v>Vùng xa</x:v>
      </x:c>
      <x:c r="E407" s="10" t="d">
        <x:v>2026-10-27T17:00:00.000Z</x:v>
      </x:c>
      <x:c r="F407" s="10" t="d">
        <x:v>2026-10-27T16:00:00.000Z</x:v>
      </x:c>
      <x:c r="G407" s="2" t="str">
        <x:f>IF(F407&lt;=E407,"Đúng hẹn","Trễ hẹn")</x:f>
        <x:v>Đúng hẹn</x:v>
      </x:c>
    </x:row>
    <x:row r="408" ht="24" customHeight="1">
      <x:c r="A408" s="11" t="str">
        <x:v>FM000407</x:v>
      </x:c>
      <x:c r="B408" s="12" t="str">
        <x:f>TRIM(CLEAN(SUBSTITUTE(A408,CHAR(160)," ")))</x:f>
        <x:v>FM000407</x:v>
      </x:c>
      <x:c r="C408" s="14" t="n">
        <x:f>IF(B408="","Thiếu mã",IFERROR(VLOOKUP(B408,'GiaCuoc'!$A$2:$B$501,2,FALSE),"Cần kiểm tra mã"))</x:f>
        <x:v>55000</x:v>
      </x:c>
      <x:c r="D408" s="2" t="str">
        <x:v>Vùng xa</x:v>
      </x:c>
      <x:c r="E408" s="10" t="d">
        <x:v>2026-10-27T17:00:00.000Z</x:v>
      </x:c>
      <x:c r="F408" s="10" t="d">
        <x:v>2026-10-27T16:00:00.000Z</x:v>
      </x:c>
      <x:c r="G408" s="2" t="str">
        <x:f>IF(F408&lt;=E408,"Đúng hẹn","Trễ hẹn")</x:f>
        <x:v>Đúng hẹn</x:v>
      </x:c>
    </x:row>
    <x:row r="409" ht="24" customHeight="1">
      <x:c r="A409" s="11" t="str">
        <x:v>FM000408</x:v>
      </x:c>
      <x:c r="B409" s="12" t="str">
        <x:f>TRIM(CLEAN(SUBSTITUTE(A409,CHAR(160)," ")))</x:f>
        <x:v>FM000408</x:v>
      </x:c>
      <x:c r="C409" s="14" t="n">
        <x:f>IF(B409="","Thiếu mã",IFERROR(VLOOKUP(B409,'GiaCuoc'!$A$2:$B$501,2,FALSE),"Cần kiểm tra mã"))</x:f>
        <x:v>55000</x:v>
      </x:c>
      <x:c r="D409" s="2" t="str">
        <x:v>Vùng xa</x:v>
      </x:c>
      <x:c r="E409" s="10" t="d">
        <x:v>2026-10-27T17:00:00.000Z</x:v>
      </x:c>
      <x:c r="F409" s="10" t="d">
        <x:v>2026-10-27T16:00:00.000Z</x:v>
      </x:c>
      <x:c r="G409" s="2" t="str">
        <x:f>IF(F409&lt;=E409,"Đúng hẹn","Trễ hẹn")</x:f>
        <x:v>Đúng hẹn</x:v>
      </x:c>
    </x:row>
    <x:row r="410" ht="24" customHeight="1">
      <x:c r="A410" s="11" t="str">
        <x:v>FM000409</x:v>
      </x:c>
      <x:c r="B410" s="12" t="str">
        <x:f>TRIM(CLEAN(SUBSTITUTE(A410,CHAR(160)," ")))</x:f>
        <x:v>FM000409</x:v>
      </x:c>
      <x:c r="C410" s="14" t="n">
        <x:f>IF(B410="","Thiếu mã",IFERROR(VLOOKUP(B410,'GiaCuoc'!$A$2:$B$501,2,FALSE),"Cần kiểm tra mã"))</x:f>
        <x:v>55000</x:v>
      </x:c>
      <x:c r="D410" s="2" t="str">
        <x:v>Vùng xa</x:v>
      </x:c>
      <x:c r="E410" s="10" t="d">
        <x:v>2026-10-27T17:00:00.000Z</x:v>
      </x:c>
      <x:c r="F410" s="10" t="d">
        <x:v>2026-10-27T16:00:00.000Z</x:v>
      </x:c>
      <x:c r="G410" s="2" t="str">
        <x:f>IF(F410&lt;=E410,"Đúng hẹn","Trễ hẹn")</x:f>
        <x:v>Đúng hẹn</x:v>
      </x:c>
    </x:row>
    <x:row r="411" ht="24" customHeight="1">
      <x:c r="A411" s="11" t="str">
        <x:v>FM000410</x:v>
      </x:c>
      <x:c r="B411" s="12" t="str">
        <x:f>TRIM(CLEAN(SUBSTITUTE(A411,CHAR(160)," ")))</x:f>
        <x:v>FM000410</x:v>
      </x:c>
      <x:c r="C411" s="14" t="n">
        <x:f>IF(B411="","Thiếu mã",IFERROR(VLOOKUP(B411,'GiaCuoc'!$A$2:$B$501,2,FALSE),"Cần kiểm tra mã"))</x:f>
        <x:v>55000</x:v>
      </x:c>
      <x:c r="D411" s="2" t="str">
        <x:v>Vùng xa</x:v>
      </x:c>
      <x:c r="E411" s="10" t="d">
        <x:v>2026-10-27T17:00:00.000Z</x:v>
      </x:c>
      <x:c r="F411" s="10" t="d">
        <x:v>2026-10-27T16:00:00.000Z</x:v>
      </x:c>
      <x:c r="G411" s="2" t="str">
        <x:f>IF(F411&lt;=E411,"Đúng hẹn","Trễ hẹn")</x:f>
        <x:v>Đúng hẹn</x:v>
      </x:c>
    </x:row>
    <x:row r="412" ht="24" customHeight="1">
      <x:c r="A412" s="11" t="str">
        <x:v>FM000411</x:v>
      </x:c>
      <x:c r="B412" s="12" t="str">
        <x:f>TRIM(CLEAN(SUBSTITUTE(A412,CHAR(160)," ")))</x:f>
        <x:v>FM000411</x:v>
      </x:c>
      <x:c r="C412" s="14" t="n">
        <x:f>IF(B412="","Thiếu mã",IFERROR(VLOOKUP(B412,'GiaCuoc'!$A$2:$B$501,2,FALSE),"Cần kiểm tra mã"))</x:f>
        <x:v>55000</x:v>
      </x:c>
      <x:c r="D412" s="2" t="str">
        <x:v>Vùng xa</x:v>
      </x:c>
      <x:c r="E412" s="10" t="d">
        <x:v>2026-10-27T17:00:00.000Z</x:v>
      </x:c>
      <x:c r="F412" s="10" t="d">
        <x:v>2026-10-27T16:00:00.000Z</x:v>
      </x:c>
      <x:c r="G412" s="2" t="str">
        <x:f>IF(F412&lt;=E412,"Đúng hẹn","Trễ hẹn")</x:f>
        <x:v>Đúng hẹn</x:v>
      </x:c>
    </x:row>
    <x:row r="413" ht="24" customHeight="1">
      <x:c r="A413" s="11" t="str">
        <x:v>FM000412</x:v>
      </x:c>
      <x:c r="B413" s="12" t="str">
        <x:f>TRIM(CLEAN(SUBSTITUTE(A413,CHAR(160)," ")))</x:f>
        <x:v>FM000412</x:v>
      </x:c>
      <x:c r="C413" s="14" t="n">
        <x:f>IF(B413="","Thiếu mã",IFERROR(VLOOKUP(B413,'GiaCuoc'!$A$2:$B$501,2,FALSE),"Cần kiểm tra mã"))</x:f>
        <x:v>55000</x:v>
      </x:c>
      <x:c r="D413" s="2" t="str">
        <x:v>Vùng xa</x:v>
      </x:c>
      <x:c r="E413" s="10" t="d">
        <x:v>2026-10-27T17:00:00.000Z</x:v>
      </x:c>
      <x:c r="F413" s="10" t="d">
        <x:v>2026-10-27T16:00:00.000Z</x:v>
      </x:c>
      <x:c r="G413" s="2" t="str">
        <x:f>IF(F413&lt;=E413,"Đúng hẹn","Trễ hẹn")</x:f>
        <x:v>Đúng hẹn</x:v>
      </x:c>
    </x:row>
    <x:row r="414" ht="24" customHeight="1">
      <x:c r="A414" s="11" t="str">
        <x:v>FM000413</x:v>
      </x:c>
      <x:c r="B414" s="12" t="str">
        <x:f>TRIM(CLEAN(SUBSTITUTE(A414,CHAR(160)," ")))</x:f>
        <x:v>FM000413</x:v>
      </x:c>
      <x:c r="C414" s="14" t="n">
        <x:f>IF(B414="","Thiếu mã",IFERROR(VLOOKUP(B414,'GiaCuoc'!$A$2:$B$501,2,FALSE),"Cần kiểm tra mã"))</x:f>
        <x:v>55000</x:v>
      </x:c>
      <x:c r="D414" s="2" t="str">
        <x:v>Vùng xa</x:v>
      </x:c>
      <x:c r="E414" s="10" t="d">
        <x:v>2026-10-27T17:00:00.000Z</x:v>
      </x:c>
      <x:c r="F414" s="10" t="d">
        <x:v>2026-10-27T16:00:00.000Z</x:v>
      </x:c>
      <x:c r="G414" s="2" t="str">
        <x:f>IF(F414&lt;=E414,"Đúng hẹn","Trễ hẹn")</x:f>
        <x:v>Đúng hẹn</x:v>
      </x:c>
    </x:row>
    <x:row r="415" ht="24" customHeight="1">
      <x:c r="A415" s="11" t="str">
        <x:v>FM000414</x:v>
      </x:c>
      <x:c r="B415" s="12" t="str">
        <x:f>TRIM(CLEAN(SUBSTITUTE(A415,CHAR(160)," ")))</x:f>
        <x:v>FM000414</x:v>
      </x:c>
      <x:c r="C415" s="14" t="n">
        <x:f>IF(B415="","Thiếu mã",IFERROR(VLOOKUP(B415,'GiaCuoc'!$A$2:$B$501,2,FALSE),"Cần kiểm tra mã"))</x:f>
        <x:v>55000</x:v>
      </x:c>
      <x:c r="D415" s="2" t="str">
        <x:v>Vùng xa</x:v>
      </x:c>
      <x:c r="E415" s="10" t="d">
        <x:v>2026-10-27T17:00:00.000Z</x:v>
      </x:c>
      <x:c r="F415" s="10" t="d">
        <x:v>2026-10-27T16:00:00.000Z</x:v>
      </x:c>
      <x:c r="G415" s="2" t="str">
        <x:f>IF(F415&lt;=E415,"Đúng hẹn","Trễ hẹn")</x:f>
        <x:v>Đúng hẹn</x:v>
      </x:c>
    </x:row>
    <x:row r="416" ht="24" customHeight="1">
      <x:c r="A416" s="11" t="str">
        <x:v>FM000415</x:v>
      </x:c>
      <x:c r="B416" s="12" t="str">
        <x:f>TRIM(CLEAN(SUBSTITUTE(A416,CHAR(160)," ")))</x:f>
        <x:v>FM000415</x:v>
      </x:c>
      <x:c r="C416" s="14" t="n">
        <x:f>IF(B416="","Thiếu mã",IFERROR(VLOOKUP(B416,'GiaCuoc'!$A$2:$B$501,2,FALSE),"Cần kiểm tra mã"))</x:f>
        <x:v>55000</x:v>
      </x:c>
      <x:c r="D416" s="2" t="str">
        <x:v>Vùng xa</x:v>
      </x:c>
      <x:c r="E416" s="10" t="d">
        <x:v>2026-10-27T17:00:00.000Z</x:v>
      </x:c>
      <x:c r="F416" s="10" t="d">
        <x:v>2026-10-27T16:00:00.000Z</x:v>
      </x:c>
      <x:c r="G416" s="2" t="str">
        <x:f>IF(F416&lt;=E416,"Đúng hẹn","Trễ hẹn")</x:f>
        <x:v>Đúng hẹn</x:v>
      </x:c>
    </x:row>
    <x:row r="417" ht="24" customHeight="1">
      <x:c r="A417" s="11" t="str">
        <x:v>FM000416</x:v>
      </x:c>
      <x:c r="B417" s="12" t="str">
        <x:f>TRIM(CLEAN(SUBSTITUTE(A417,CHAR(160)," ")))</x:f>
        <x:v>FM000416</x:v>
      </x:c>
      <x:c r="C417" s="14" t="n">
        <x:f>IF(B417="","Thiếu mã",IFERROR(VLOOKUP(B417,'GiaCuoc'!$A$2:$B$501,2,FALSE),"Cần kiểm tra mã"))</x:f>
        <x:v>55000</x:v>
      </x:c>
      <x:c r="D417" s="2" t="str">
        <x:v>Vùng xa</x:v>
      </x:c>
      <x:c r="E417" s="10" t="d">
        <x:v>2026-10-27T17:00:00.000Z</x:v>
      </x:c>
      <x:c r="F417" s="10" t="d">
        <x:v>2026-10-27T16:00:00.000Z</x:v>
      </x:c>
      <x:c r="G417" s="2" t="str">
        <x:f>IF(F417&lt;=E417,"Đúng hẹn","Trễ hẹn")</x:f>
        <x:v>Đúng hẹn</x:v>
      </x:c>
    </x:row>
    <x:row r="418" ht="24" customHeight="1">
      <x:c r="A418" s="11" t="str">
        <x:v>FM000417</x:v>
      </x:c>
      <x:c r="B418" s="12" t="str">
        <x:f>TRIM(CLEAN(SUBSTITUTE(A418,CHAR(160)," ")))</x:f>
        <x:v>FM000417</x:v>
      </x:c>
      <x:c r="C418" s="14" t="n">
        <x:f>IF(B418="","Thiếu mã",IFERROR(VLOOKUP(B418,'GiaCuoc'!$A$2:$B$501,2,FALSE),"Cần kiểm tra mã"))</x:f>
        <x:v>55000</x:v>
      </x:c>
      <x:c r="D418" s="2" t="str">
        <x:v>Vùng xa</x:v>
      </x:c>
      <x:c r="E418" s="10" t="d">
        <x:v>2026-10-27T17:00:00.000Z</x:v>
      </x:c>
      <x:c r="F418" s="10" t="d">
        <x:v>2026-10-27T16:00:00.000Z</x:v>
      </x:c>
      <x:c r="G418" s="2" t="str">
        <x:f>IF(F418&lt;=E418,"Đúng hẹn","Trễ hẹn")</x:f>
        <x:v>Đúng hẹn</x:v>
      </x:c>
    </x:row>
    <x:row r="419" ht="24" customHeight="1">
      <x:c r="A419" s="11" t="str">
        <x:v>FM000418</x:v>
      </x:c>
      <x:c r="B419" s="12" t="str">
        <x:f>TRIM(CLEAN(SUBSTITUTE(A419,CHAR(160)," ")))</x:f>
        <x:v>FM000418</x:v>
      </x:c>
      <x:c r="C419" s="14" t="n">
        <x:f>IF(B419="","Thiếu mã",IFERROR(VLOOKUP(B419,'GiaCuoc'!$A$2:$B$501,2,FALSE),"Cần kiểm tra mã"))</x:f>
        <x:v>55000</x:v>
      </x:c>
      <x:c r="D419" s="2" t="str">
        <x:v>Vùng xa</x:v>
      </x:c>
      <x:c r="E419" s="10" t="d">
        <x:v>2026-10-27T17:00:00.000Z</x:v>
      </x:c>
      <x:c r="F419" s="10" t="d">
        <x:v>2026-10-27T16:00:00.000Z</x:v>
      </x:c>
      <x:c r="G419" s="2" t="str">
        <x:f>IF(F419&lt;=E419,"Đúng hẹn","Trễ hẹn")</x:f>
        <x:v>Đúng hẹn</x:v>
      </x:c>
    </x:row>
    <x:row r="420" ht="24" customHeight="1">
      <x:c r="A420" s="11" t="str">
        <x:v>FM000419</x:v>
      </x:c>
      <x:c r="B420" s="12" t="str">
        <x:f>TRIM(CLEAN(SUBSTITUTE(A420,CHAR(160)," ")))</x:f>
        <x:v>FM000419</x:v>
      </x:c>
      <x:c r="C420" s="14" t="n">
        <x:f>IF(B420="","Thiếu mã",IFERROR(VLOOKUP(B420,'GiaCuoc'!$A$2:$B$501,2,FALSE),"Cần kiểm tra mã"))</x:f>
        <x:v>55000</x:v>
      </x:c>
      <x:c r="D420" s="2" t="str">
        <x:v>Vùng xa</x:v>
      </x:c>
      <x:c r="E420" s="10" t="d">
        <x:v>2026-10-27T17:00:00.000Z</x:v>
      </x:c>
      <x:c r="F420" s="10" t="d">
        <x:v>2026-10-27T16:00:00.000Z</x:v>
      </x:c>
      <x:c r="G420" s="2" t="str">
        <x:f>IF(F420&lt;=E420,"Đúng hẹn","Trễ hẹn")</x:f>
        <x:v>Đúng hẹn</x:v>
      </x:c>
    </x:row>
    <x:row r="421" ht="24" customHeight="1">
      <x:c r="A421" s="11" t="str">
        <x:v>FM000420</x:v>
      </x:c>
      <x:c r="B421" s="12" t="str">
        <x:f>TRIM(CLEAN(SUBSTITUTE(A421,CHAR(160)," ")))</x:f>
        <x:v>FM000420</x:v>
      </x:c>
      <x:c r="C421" s="14" t="n">
        <x:f>IF(B421="","Thiếu mã",IFERROR(VLOOKUP(B421,'GiaCuoc'!$A$2:$B$501,2,FALSE),"Cần kiểm tra mã"))</x:f>
        <x:v>55000</x:v>
      </x:c>
      <x:c r="D421" s="2" t="str">
        <x:v>Vùng xa</x:v>
      </x:c>
      <x:c r="E421" s="10" t="d">
        <x:v>2026-10-27T17:00:00.000Z</x:v>
      </x:c>
      <x:c r="F421" s="10" t="d">
        <x:v>2026-10-27T16:00:00.000Z</x:v>
      </x:c>
      <x:c r="G421" s="2" t="str">
        <x:f>IF(F421&lt;=E421,"Đúng hẹn","Trễ hẹn")</x:f>
        <x:v>Đúng hẹn</x:v>
      </x:c>
    </x:row>
    <x:row r="422" ht="24" customHeight="1">
      <x:c r="A422" s="11" t="str">
        <x:v>FM000421</x:v>
      </x:c>
      <x:c r="B422" s="12" t="str">
        <x:f>TRIM(CLEAN(SUBSTITUTE(A422,CHAR(160)," ")))</x:f>
        <x:v>FM000421</x:v>
      </x:c>
      <x:c r="C422" s="14" t="n">
        <x:f>IF(B422="","Thiếu mã",IFERROR(VLOOKUP(B422,'GiaCuoc'!$A$2:$B$501,2,FALSE),"Cần kiểm tra mã"))</x:f>
        <x:v>55000</x:v>
      </x:c>
      <x:c r="D422" s="2" t="str">
        <x:v>Vùng xa</x:v>
      </x:c>
      <x:c r="E422" s="10" t="d">
        <x:v>2026-10-27T17:00:00.000Z</x:v>
      </x:c>
      <x:c r="F422" s="10" t="d">
        <x:v>2026-10-27T16:00:00.000Z</x:v>
      </x:c>
      <x:c r="G422" s="2" t="str">
        <x:f>IF(F422&lt;=E422,"Đúng hẹn","Trễ hẹn")</x:f>
        <x:v>Đúng hẹn</x:v>
      </x:c>
    </x:row>
    <x:row r="423" ht="24" customHeight="1">
      <x:c r="A423" s="11" t="str">
        <x:v>FM000422</x:v>
      </x:c>
      <x:c r="B423" s="12" t="str">
        <x:f>TRIM(CLEAN(SUBSTITUTE(A423,CHAR(160)," ")))</x:f>
        <x:v>FM000422</x:v>
      </x:c>
      <x:c r="C423" s="14" t="n">
        <x:f>IF(B423="","Thiếu mã",IFERROR(VLOOKUP(B423,'GiaCuoc'!$A$2:$B$501,2,FALSE),"Cần kiểm tra mã"))</x:f>
        <x:v>55000</x:v>
      </x:c>
      <x:c r="D423" s="2" t="str">
        <x:v>Vùng xa</x:v>
      </x:c>
      <x:c r="E423" s="10" t="d">
        <x:v>2026-10-27T17:00:00.000Z</x:v>
      </x:c>
      <x:c r="F423" s="10" t="d">
        <x:v>2026-10-27T16:00:00.000Z</x:v>
      </x:c>
      <x:c r="G423" s="2" t="str">
        <x:f>IF(F423&lt;=E423,"Đúng hẹn","Trễ hẹn")</x:f>
        <x:v>Đúng hẹn</x:v>
      </x:c>
    </x:row>
    <x:row r="424" ht="24" customHeight="1">
      <x:c r="A424" s="11" t="str">
        <x:v>FM000423</x:v>
      </x:c>
      <x:c r="B424" s="12" t="str">
        <x:f>TRIM(CLEAN(SUBSTITUTE(A424,CHAR(160)," ")))</x:f>
        <x:v>FM000423</x:v>
      </x:c>
      <x:c r="C424" s="14" t="n">
        <x:f>IF(B424="","Thiếu mã",IFERROR(VLOOKUP(B424,'GiaCuoc'!$A$2:$B$501,2,FALSE),"Cần kiểm tra mã"))</x:f>
        <x:v>55000</x:v>
      </x:c>
      <x:c r="D424" s="2" t="str">
        <x:v>Vùng xa</x:v>
      </x:c>
      <x:c r="E424" s="10" t="d">
        <x:v>2026-10-27T17:00:00.000Z</x:v>
      </x:c>
      <x:c r="F424" s="10" t="d">
        <x:v>2026-10-27T16:00:00.000Z</x:v>
      </x:c>
      <x:c r="G424" s="2" t="str">
        <x:f>IF(F424&lt;=E424,"Đúng hẹn","Trễ hẹn")</x:f>
        <x:v>Đúng hẹn</x:v>
      </x:c>
    </x:row>
    <x:row r="425" ht="24" customHeight="1">
      <x:c r="A425" s="11" t="str">
        <x:v>FM000424</x:v>
      </x:c>
      <x:c r="B425" s="12" t="str">
        <x:f>TRIM(CLEAN(SUBSTITUTE(A425,CHAR(160)," ")))</x:f>
        <x:v>FM000424</x:v>
      </x:c>
      <x:c r="C425" s="14" t="n">
        <x:f>IF(B425="","Thiếu mã",IFERROR(VLOOKUP(B425,'GiaCuoc'!$A$2:$B$501,2,FALSE),"Cần kiểm tra mã"))</x:f>
        <x:v>55000</x:v>
      </x:c>
      <x:c r="D425" s="2" t="str">
        <x:v>Vùng xa</x:v>
      </x:c>
      <x:c r="E425" s="10" t="d">
        <x:v>2026-10-27T17:00:00.000Z</x:v>
      </x:c>
      <x:c r="F425" s="10" t="d">
        <x:v>2026-10-27T16:00:00.000Z</x:v>
      </x:c>
      <x:c r="G425" s="2" t="str">
        <x:f>IF(F425&lt;=E425,"Đúng hẹn","Trễ hẹn")</x:f>
        <x:v>Đúng hẹn</x:v>
      </x:c>
    </x:row>
    <x:row r="426" ht="24" customHeight="1">
      <x:c r="A426" s="11" t="str">
        <x:v>FM000425</x:v>
      </x:c>
      <x:c r="B426" s="12" t="str">
        <x:f>TRIM(CLEAN(SUBSTITUTE(A426,CHAR(160)," ")))</x:f>
        <x:v>FM000425</x:v>
      </x:c>
      <x:c r="C426" s="14" t="n">
        <x:f>IF(B426="","Thiếu mã",IFERROR(VLOOKUP(B426,'GiaCuoc'!$A$2:$B$501,2,FALSE),"Cần kiểm tra mã"))</x:f>
        <x:v>55000</x:v>
      </x:c>
      <x:c r="D426" s="2" t="str">
        <x:v>Vùng xa</x:v>
      </x:c>
      <x:c r="E426" s="10" t="d">
        <x:v>2026-10-27T17:00:00.000Z</x:v>
      </x:c>
      <x:c r="F426" s="10" t="d">
        <x:v>2026-10-27T16:00:00.000Z</x:v>
      </x:c>
      <x:c r="G426" s="2" t="str">
        <x:f>IF(F426&lt;=E426,"Đúng hẹn","Trễ hẹn")</x:f>
        <x:v>Đúng hẹn</x:v>
      </x:c>
    </x:row>
    <x:row r="427" ht="24" customHeight="1">
      <x:c r="A427" s="11" t="str">
        <x:v>FM000426</x:v>
      </x:c>
      <x:c r="B427" s="12" t="str">
        <x:f>TRIM(CLEAN(SUBSTITUTE(A427,CHAR(160)," ")))</x:f>
        <x:v>FM000426</x:v>
      </x:c>
      <x:c r="C427" s="14" t="n">
        <x:f>IF(B427="","Thiếu mã",IFERROR(VLOOKUP(B427,'GiaCuoc'!$A$2:$B$501,2,FALSE),"Cần kiểm tra mã"))</x:f>
        <x:v>55000</x:v>
      </x:c>
      <x:c r="D427" s="2" t="str">
        <x:v>Vùng xa</x:v>
      </x:c>
      <x:c r="E427" s="10" t="d">
        <x:v>2026-10-27T17:00:00.000Z</x:v>
      </x:c>
      <x:c r="F427" s="10" t="d">
        <x:v>2026-10-27T16:00:00.000Z</x:v>
      </x:c>
      <x:c r="G427" s="2" t="str">
        <x:f>IF(F427&lt;=E427,"Đúng hẹn","Trễ hẹn")</x:f>
        <x:v>Đúng hẹn</x:v>
      </x:c>
    </x:row>
    <x:row r="428" ht="24" customHeight="1">
      <x:c r="A428" s="11" t="str">
        <x:v>FM000427</x:v>
      </x:c>
      <x:c r="B428" s="12" t="str">
        <x:f>TRIM(CLEAN(SUBSTITUTE(A428,CHAR(160)," ")))</x:f>
        <x:v>FM000427</x:v>
      </x:c>
      <x:c r="C428" s="14" t="n">
        <x:f>IF(B428="","Thiếu mã",IFERROR(VLOOKUP(B428,'GiaCuoc'!$A$2:$B$501,2,FALSE),"Cần kiểm tra mã"))</x:f>
        <x:v>55000</x:v>
      </x:c>
      <x:c r="D428" s="2" t="str">
        <x:v>Vùng xa</x:v>
      </x:c>
      <x:c r="E428" s="10" t="d">
        <x:v>2026-10-27T17:00:00.000Z</x:v>
      </x:c>
      <x:c r="F428" s="10" t="d">
        <x:v>2026-10-27T16:00:00.000Z</x:v>
      </x:c>
      <x:c r="G428" s="2" t="str">
        <x:f>IF(F428&lt;=E428,"Đúng hẹn","Trễ hẹn")</x:f>
        <x:v>Đúng hẹn</x:v>
      </x:c>
    </x:row>
    <x:row r="429" ht="24" customHeight="1">
      <x:c r="A429" s="11" t="str">
        <x:v>FM000428</x:v>
      </x:c>
      <x:c r="B429" s="12" t="str">
        <x:f>TRIM(CLEAN(SUBSTITUTE(A429,CHAR(160)," ")))</x:f>
        <x:v>FM000428</x:v>
      </x:c>
      <x:c r="C429" s="14" t="n">
        <x:f>IF(B429="","Thiếu mã",IFERROR(VLOOKUP(B429,'GiaCuoc'!$A$2:$B$501,2,FALSE),"Cần kiểm tra mã"))</x:f>
        <x:v>55000</x:v>
      </x:c>
      <x:c r="D429" s="2" t="str">
        <x:v>Vùng xa</x:v>
      </x:c>
      <x:c r="E429" s="10" t="d">
        <x:v>2026-10-27T17:00:00.000Z</x:v>
      </x:c>
      <x:c r="F429" s="10" t="d">
        <x:v>2026-10-27T16:00:00.000Z</x:v>
      </x:c>
      <x:c r="G429" s="2" t="str">
        <x:f>IF(F429&lt;=E429,"Đúng hẹn","Trễ hẹn")</x:f>
        <x:v>Đúng hẹn</x:v>
      </x:c>
    </x:row>
    <x:row r="430" ht="24" customHeight="1">
      <x:c r="A430" s="11" t="str">
        <x:v>FM000429</x:v>
      </x:c>
      <x:c r="B430" s="12" t="str">
        <x:f>TRIM(CLEAN(SUBSTITUTE(A430,CHAR(160)," ")))</x:f>
        <x:v>FM000429</x:v>
      </x:c>
      <x:c r="C430" s="14" t="n">
        <x:f>IF(B430="","Thiếu mã",IFERROR(VLOOKUP(B430,'GiaCuoc'!$A$2:$B$501,2,FALSE),"Cần kiểm tra mã"))</x:f>
        <x:v>55000</x:v>
      </x:c>
      <x:c r="D430" s="2" t="str">
        <x:v>Vùng xa</x:v>
      </x:c>
      <x:c r="E430" s="10" t="d">
        <x:v>2026-10-27T17:00:00.000Z</x:v>
      </x:c>
      <x:c r="F430" s="10" t="d">
        <x:v>2026-10-27T16:00:00.000Z</x:v>
      </x:c>
      <x:c r="G430" s="2" t="str">
        <x:f>IF(F430&lt;=E430,"Đúng hẹn","Trễ hẹn")</x:f>
        <x:v>Đúng hẹn</x:v>
      </x:c>
    </x:row>
    <x:row r="431" ht="24" customHeight="1">
      <x:c r="A431" s="11" t="str">
        <x:v>FM000430</x:v>
      </x:c>
      <x:c r="B431" s="12" t="str">
        <x:f>TRIM(CLEAN(SUBSTITUTE(A431,CHAR(160)," ")))</x:f>
        <x:v>FM000430</x:v>
      </x:c>
      <x:c r="C431" s="14" t="n">
        <x:f>IF(B431="","Thiếu mã",IFERROR(VLOOKUP(B431,'GiaCuoc'!$A$2:$B$501,2,FALSE),"Cần kiểm tra mã"))</x:f>
        <x:v>55000</x:v>
      </x:c>
      <x:c r="D431" s="2" t="str">
        <x:v>Vùng xa</x:v>
      </x:c>
      <x:c r="E431" s="10" t="d">
        <x:v>2026-10-27T17:00:00.000Z</x:v>
      </x:c>
      <x:c r="F431" s="10" t="d">
        <x:v>2026-10-27T16:00:00.000Z</x:v>
      </x:c>
      <x:c r="G431" s="2" t="str">
        <x:f>IF(F431&lt;=E431,"Đúng hẹn","Trễ hẹn")</x:f>
        <x:v>Đúng hẹn</x:v>
      </x:c>
    </x:row>
    <x:row r="432" ht="24" customHeight="1">
      <x:c r="A432" s="11" t="str">
        <x:v>FM000431</x:v>
      </x:c>
      <x:c r="B432" s="12" t="str">
        <x:f>TRIM(CLEAN(SUBSTITUTE(A432,CHAR(160)," ")))</x:f>
        <x:v>FM000431</x:v>
      </x:c>
      <x:c r="C432" s="14" t="n">
        <x:f>IF(B432="","Thiếu mã",IFERROR(VLOOKUP(B432,'GiaCuoc'!$A$2:$B$501,2,FALSE),"Cần kiểm tra mã"))</x:f>
        <x:v>55000</x:v>
      </x:c>
      <x:c r="D432" s="2" t="str">
        <x:v>Vùng xa</x:v>
      </x:c>
      <x:c r="E432" s="10" t="d">
        <x:v>2026-10-27T17:00:00.000Z</x:v>
      </x:c>
      <x:c r="F432" s="10" t="d">
        <x:v>2026-10-27T16:00:00.000Z</x:v>
      </x:c>
      <x:c r="G432" s="2" t="str">
        <x:f>IF(F432&lt;=E432,"Đúng hẹn","Trễ hẹn")</x:f>
        <x:v>Đúng hẹn</x:v>
      </x:c>
    </x:row>
    <x:row r="433" ht="24" customHeight="1">
      <x:c r="A433" s="11" t="str">
        <x:v>FM000432</x:v>
      </x:c>
      <x:c r="B433" s="12" t="str">
        <x:f>TRIM(CLEAN(SUBSTITUTE(A433,CHAR(160)," ")))</x:f>
        <x:v>FM000432</x:v>
      </x:c>
      <x:c r="C433" s="14" t="n">
        <x:f>IF(B433="","Thiếu mã",IFERROR(VLOOKUP(B433,'GiaCuoc'!$A$2:$B$501,2,FALSE),"Cần kiểm tra mã"))</x:f>
        <x:v>55000</x:v>
      </x:c>
      <x:c r="D433" s="2" t="str">
        <x:v>Vùng xa</x:v>
      </x:c>
      <x:c r="E433" s="10" t="d">
        <x:v>2026-10-27T17:00:00.000Z</x:v>
      </x:c>
      <x:c r="F433" s="10" t="d">
        <x:v>2026-10-27T16:00:00.000Z</x:v>
      </x:c>
      <x:c r="G433" s="2" t="str">
        <x:f>IF(F433&lt;=E433,"Đúng hẹn","Trễ hẹn")</x:f>
        <x:v>Đúng hẹn</x:v>
      </x:c>
    </x:row>
    <x:row r="434" ht="24" customHeight="1">
      <x:c r="A434" s="11" t="str">
        <x:v>FM000433</x:v>
      </x:c>
      <x:c r="B434" s="12" t="str">
        <x:f>TRIM(CLEAN(SUBSTITUTE(A434,CHAR(160)," ")))</x:f>
        <x:v>FM000433</x:v>
      </x:c>
      <x:c r="C434" s="14" t="n">
        <x:f>IF(B434="","Thiếu mã",IFERROR(VLOOKUP(B434,'GiaCuoc'!$A$2:$B$501,2,FALSE),"Cần kiểm tra mã"))</x:f>
        <x:v>55000</x:v>
      </x:c>
      <x:c r="D434" s="2" t="str">
        <x:v>Vùng xa</x:v>
      </x:c>
      <x:c r="E434" s="10" t="d">
        <x:v>2026-10-27T17:00:00.000Z</x:v>
      </x:c>
      <x:c r="F434" s="10" t="d">
        <x:v>2026-10-27T16:00:00.000Z</x:v>
      </x:c>
      <x:c r="G434" s="2" t="str">
        <x:f>IF(F434&lt;=E434,"Đúng hẹn","Trễ hẹn")</x:f>
        <x:v>Đúng hẹn</x:v>
      </x:c>
    </x:row>
    <x:row r="435" ht="24" customHeight="1">
      <x:c r="A435" s="11" t="str">
        <x:v>FM000434</x:v>
      </x:c>
      <x:c r="B435" s="12" t="str">
        <x:f>TRIM(CLEAN(SUBSTITUTE(A435,CHAR(160)," ")))</x:f>
        <x:v>FM000434</x:v>
      </x:c>
      <x:c r="C435" s="14" t="n">
        <x:f>IF(B435="","Thiếu mã",IFERROR(VLOOKUP(B435,'GiaCuoc'!$A$2:$B$501,2,FALSE),"Cần kiểm tra mã"))</x:f>
        <x:v>55000</x:v>
      </x:c>
      <x:c r="D435" s="2" t="str">
        <x:v>Vùng xa</x:v>
      </x:c>
      <x:c r="E435" s="10" t="d">
        <x:v>2026-10-27T17:00:00.000Z</x:v>
      </x:c>
      <x:c r="F435" s="10" t="d">
        <x:v>2026-10-27T16:00:00.000Z</x:v>
      </x:c>
      <x:c r="G435" s="2" t="str">
        <x:f>IF(F435&lt;=E435,"Đúng hẹn","Trễ hẹn")</x:f>
        <x:v>Đúng hẹn</x:v>
      </x:c>
    </x:row>
    <x:row r="436" ht="24" customHeight="1">
      <x:c r="A436" s="11" t="str">
        <x:v>FM000435</x:v>
      </x:c>
      <x:c r="B436" s="12" t="str">
        <x:f>TRIM(CLEAN(SUBSTITUTE(A436,CHAR(160)," ")))</x:f>
        <x:v>FM000435</x:v>
      </x:c>
      <x:c r="C436" s="14" t="n">
        <x:f>IF(B436="","Thiếu mã",IFERROR(VLOOKUP(B436,'GiaCuoc'!$A$2:$B$501,2,FALSE),"Cần kiểm tra mã"))</x:f>
        <x:v>55000</x:v>
      </x:c>
      <x:c r="D436" s="2" t="str">
        <x:v>Vùng xa</x:v>
      </x:c>
      <x:c r="E436" s="10" t="d">
        <x:v>2026-10-27T17:00:00.000Z</x:v>
      </x:c>
      <x:c r="F436" s="10" t="d">
        <x:v>2026-10-27T16:00:00.000Z</x:v>
      </x:c>
      <x:c r="G436" s="2" t="str">
        <x:f>IF(F436&lt;=E436,"Đúng hẹn","Trễ hẹn")</x:f>
        <x:v>Đúng hẹn</x:v>
      </x:c>
    </x:row>
    <x:row r="437" ht="24" customHeight="1">
      <x:c r="A437" s="11" t="str">
        <x:v>FM000436</x:v>
      </x:c>
      <x:c r="B437" s="12" t="str">
        <x:f>TRIM(CLEAN(SUBSTITUTE(A437,CHAR(160)," ")))</x:f>
        <x:v>FM000436</x:v>
      </x:c>
      <x:c r="C437" s="14" t="n">
        <x:f>IF(B437="","Thiếu mã",IFERROR(VLOOKUP(B437,'GiaCuoc'!$A$2:$B$501,2,FALSE),"Cần kiểm tra mã"))</x:f>
        <x:v>55000</x:v>
      </x:c>
      <x:c r="D437" s="2" t="str">
        <x:v>Vùng xa</x:v>
      </x:c>
      <x:c r="E437" s="10" t="d">
        <x:v>2026-10-27T17:00:00.000Z</x:v>
      </x:c>
      <x:c r="F437" s="10" t="d">
        <x:v>2026-10-27T16:00:00.000Z</x:v>
      </x:c>
      <x:c r="G437" s="2" t="str">
        <x:f>IF(F437&lt;=E437,"Đúng hẹn","Trễ hẹn")</x:f>
        <x:v>Đúng hẹn</x:v>
      </x:c>
    </x:row>
    <x:row r="438" ht="24" customHeight="1">
      <x:c r="A438" s="11" t="str">
        <x:v>FM000437</x:v>
      </x:c>
      <x:c r="B438" s="12" t="str">
        <x:f>TRIM(CLEAN(SUBSTITUTE(A438,CHAR(160)," ")))</x:f>
        <x:v>FM000437</x:v>
      </x:c>
      <x:c r="C438" s="14" t="n">
        <x:f>IF(B438="","Thiếu mã",IFERROR(VLOOKUP(B438,'GiaCuoc'!$A$2:$B$501,2,FALSE),"Cần kiểm tra mã"))</x:f>
        <x:v>55000</x:v>
      </x:c>
      <x:c r="D438" s="2" t="str">
        <x:v>Vùng xa</x:v>
      </x:c>
      <x:c r="E438" s="10" t="d">
        <x:v>2026-10-27T17:00:00.000Z</x:v>
      </x:c>
      <x:c r="F438" s="10" t="d">
        <x:v>2026-10-27T16:00:00.000Z</x:v>
      </x:c>
      <x:c r="G438" s="2" t="str">
        <x:f>IF(F438&lt;=E438,"Đúng hẹn","Trễ hẹn")</x:f>
        <x:v>Đúng hẹn</x:v>
      </x:c>
    </x:row>
    <x:row r="439" ht="24" customHeight="1">
      <x:c r="A439" s="11" t="str">
        <x:v>FM000438</x:v>
      </x:c>
      <x:c r="B439" s="12" t="str">
        <x:f>TRIM(CLEAN(SUBSTITUTE(A439,CHAR(160)," ")))</x:f>
        <x:v>FM000438</x:v>
      </x:c>
      <x:c r="C439" s="14" t="n">
        <x:f>IF(B439="","Thiếu mã",IFERROR(VLOOKUP(B439,'GiaCuoc'!$A$2:$B$501,2,FALSE),"Cần kiểm tra mã"))</x:f>
        <x:v>55000</x:v>
      </x:c>
      <x:c r="D439" s="2" t="str">
        <x:v>Vùng xa</x:v>
      </x:c>
      <x:c r="E439" s="10" t="d">
        <x:v>2026-10-27T17:00:00.000Z</x:v>
      </x:c>
      <x:c r="F439" s="10" t="d">
        <x:v>2026-10-27T16:00:00.000Z</x:v>
      </x:c>
      <x:c r="G439" s="2" t="str">
        <x:f>IF(F439&lt;=E439,"Đúng hẹn","Trễ hẹn")</x:f>
        <x:v>Đúng hẹn</x:v>
      </x:c>
    </x:row>
    <x:row r="440" ht="24" customHeight="1">
      <x:c r="A440" s="11" t="str">
        <x:v>FM000439</x:v>
      </x:c>
      <x:c r="B440" s="12" t="str">
        <x:f>TRIM(CLEAN(SUBSTITUTE(A440,CHAR(160)," ")))</x:f>
        <x:v>FM000439</x:v>
      </x:c>
      <x:c r="C440" s="14" t="n">
        <x:f>IF(B440="","Thiếu mã",IFERROR(VLOOKUP(B440,'GiaCuoc'!$A$2:$B$501,2,FALSE),"Cần kiểm tra mã"))</x:f>
        <x:v>55000</x:v>
      </x:c>
      <x:c r="D440" s="2" t="str">
        <x:v>Vùng xa</x:v>
      </x:c>
      <x:c r="E440" s="10" t="d">
        <x:v>2026-10-27T17:00:00.000Z</x:v>
      </x:c>
      <x:c r="F440" s="10" t="d">
        <x:v>2026-10-27T16:00:00.000Z</x:v>
      </x:c>
      <x:c r="G440" s="2" t="str">
        <x:f>IF(F440&lt;=E440,"Đúng hẹn","Trễ hẹn")</x:f>
        <x:v>Đúng hẹn</x:v>
      </x:c>
    </x:row>
    <x:row r="441" ht="24" customHeight="1">
      <x:c r="A441" s="11" t="str">
        <x:v>FM000440</x:v>
      </x:c>
      <x:c r="B441" s="12" t="str">
        <x:f>TRIM(CLEAN(SUBSTITUTE(A441,CHAR(160)," ")))</x:f>
        <x:v>FM000440</x:v>
      </x:c>
      <x:c r="C441" s="14" t="n">
        <x:f>IF(B441="","Thiếu mã",IFERROR(VLOOKUP(B441,'GiaCuoc'!$A$2:$B$501,2,FALSE),"Cần kiểm tra mã"))</x:f>
        <x:v>55000</x:v>
      </x:c>
      <x:c r="D441" s="2" t="str">
        <x:v>Vùng xa</x:v>
      </x:c>
      <x:c r="E441" s="10" t="d">
        <x:v>2026-10-27T17:00:00.000Z</x:v>
      </x:c>
      <x:c r="F441" s="10" t="d">
        <x:v>2026-10-27T16:00:00.000Z</x:v>
      </x:c>
      <x:c r="G441" s="2" t="str">
        <x:f>IF(F441&lt;=E441,"Đúng hẹn","Trễ hẹn")</x:f>
        <x:v>Đúng hẹn</x:v>
      </x:c>
    </x:row>
    <x:row r="442" ht="24" customHeight="1">
      <x:c r="A442" s="11" t="str">
        <x:v>FM000441</x:v>
      </x:c>
      <x:c r="B442" s="12" t="str">
        <x:f>TRIM(CLEAN(SUBSTITUTE(A442,CHAR(160)," ")))</x:f>
        <x:v>FM000441</x:v>
      </x:c>
      <x:c r="C442" s="14" t="n">
        <x:f>IF(B442="","Thiếu mã",IFERROR(VLOOKUP(B442,'GiaCuoc'!$A$2:$B$501,2,FALSE),"Cần kiểm tra mã"))</x:f>
        <x:v>55000</x:v>
      </x:c>
      <x:c r="D442" s="2" t="str">
        <x:v>Vùng xa</x:v>
      </x:c>
      <x:c r="E442" s="10" t="d">
        <x:v>2026-10-27T17:00:00.000Z</x:v>
      </x:c>
      <x:c r="F442" s="10" t="d">
        <x:v>2026-10-27T16:00:00.000Z</x:v>
      </x:c>
      <x:c r="G442" s="2" t="str">
        <x:f>IF(F442&lt;=E442,"Đúng hẹn","Trễ hẹn")</x:f>
        <x:v>Đúng hẹn</x:v>
      </x:c>
    </x:row>
    <x:row r="443" ht="24" customHeight="1">
      <x:c r="A443" s="11" t="str">
        <x:v>FM000442</x:v>
      </x:c>
      <x:c r="B443" s="12" t="str">
        <x:f>TRIM(CLEAN(SUBSTITUTE(A443,CHAR(160)," ")))</x:f>
        <x:v>FM000442</x:v>
      </x:c>
      <x:c r="C443" s="14" t="n">
        <x:f>IF(B443="","Thiếu mã",IFERROR(VLOOKUP(B443,'GiaCuoc'!$A$2:$B$501,2,FALSE),"Cần kiểm tra mã"))</x:f>
        <x:v>55000</x:v>
      </x:c>
      <x:c r="D443" s="2" t="str">
        <x:v>Vùng xa</x:v>
      </x:c>
      <x:c r="E443" s="10" t="d">
        <x:v>2026-10-27T17:00:00.000Z</x:v>
      </x:c>
      <x:c r="F443" s="10" t="d">
        <x:v>2026-10-27T16:00:00.000Z</x:v>
      </x:c>
      <x:c r="G443" s="2" t="str">
        <x:f>IF(F443&lt;=E443,"Đúng hẹn","Trễ hẹn")</x:f>
        <x:v>Đúng hẹn</x:v>
      </x:c>
    </x:row>
    <x:row r="444" ht="24" customHeight="1">
      <x:c r="A444" s="11" t="str">
        <x:v>FM000443</x:v>
      </x:c>
      <x:c r="B444" s="12" t="str">
        <x:f>TRIM(CLEAN(SUBSTITUTE(A444,CHAR(160)," ")))</x:f>
        <x:v>FM000443</x:v>
      </x:c>
      <x:c r="C444" s="14" t="n">
        <x:f>IF(B444="","Thiếu mã",IFERROR(VLOOKUP(B444,'GiaCuoc'!$A$2:$B$501,2,FALSE),"Cần kiểm tra mã"))</x:f>
        <x:v>55000</x:v>
      </x:c>
      <x:c r="D444" s="2" t="str">
        <x:v>Vùng xa</x:v>
      </x:c>
      <x:c r="E444" s="10" t="d">
        <x:v>2026-10-27T17:00:00.000Z</x:v>
      </x:c>
      <x:c r="F444" s="10" t="d">
        <x:v>2026-10-27T16:00:00.000Z</x:v>
      </x:c>
      <x:c r="G444" s="2" t="str">
        <x:f>IF(F444&lt;=E444,"Đúng hẹn","Trễ hẹn")</x:f>
        <x:v>Đúng hẹn</x:v>
      </x:c>
    </x:row>
    <x:row r="445" ht="24" customHeight="1">
      <x:c r="A445" s="11" t="str">
        <x:v>FM000444</x:v>
      </x:c>
      <x:c r="B445" s="12" t="str">
        <x:f>TRIM(CLEAN(SUBSTITUTE(A445,CHAR(160)," ")))</x:f>
        <x:v>FM000444</x:v>
      </x:c>
      <x:c r="C445" s="14" t="n">
        <x:f>IF(B445="","Thiếu mã",IFERROR(VLOOKUP(B445,'GiaCuoc'!$A$2:$B$501,2,FALSE),"Cần kiểm tra mã"))</x:f>
        <x:v>55000</x:v>
      </x:c>
      <x:c r="D445" s="2" t="str">
        <x:v>Vùng xa</x:v>
      </x:c>
      <x:c r="E445" s="10" t="d">
        <x:v>2026-10-27T17:00:00.000Z</x:v>
      </x:c>
      <x:c r="F445" s="10" t="d">
        <x:v>2026-10-27T16:00:00.000Z</x:v>
      </x:c>
      <x:c r="G445" s="2" t="str">
        <x:f>IF(F445&lt;=E445,"Đúng hẹn","Trễ hẹn")</x:f>
        <x:v>Đúng hẹn</x:v>
      </x:c>
    </x:row>
    <x:row r="446" ht="24" customHeight="1">
      <x:c r="A446" s="11" t="str">
        <x:v>FM000445</x:v>
      </x:c>
      <x:c r="B446" s="12" t="str">
        <x:f>TRIM(CLEAN(SUBSTITUTE(A446,CHAR(160)," ")))</x:f>
        <x:v>FM000445</x:v>
      </x:c>
      <x:c r="C446" s="14" t="n">
        <x:f>IF(B446="","Thiếu mã",IFERROR(VLOOKUP(B446,'GiaCuoc'!$A$2:$B$501,2,FALSE),"Cần kiểm tra mã"))</x:f>
        <x:v>55000</x:v>
      </x:c>
      <x:c r="D446" s="2" t="str">
        <x:v>Vùng xa</x:v>
      </x:c>
      <x:c r="E446" s="10" t="d">
        <x:v>2026-10-27T17:00:00.000Z</x:v>
      </x:c>
      <x:c r="F446" s="10" t="d">
        <x:v>2026-10-27T16:00:00.000Z</x:v>
      </x:c>
      <x:c r="G446" s="2" t="str">
        <x:f>IF(F446&lt;=E446,"Đúng hẹn","Trễ hẹn")</x:f>
        <x:v>Đúng hẹn</x:v>
      </x:c>
    </x:row>
    <x:row r="447" ht="24" customHeight="1">
      <x:c r="A447" s="11" t="str">
        <x:v>FM000446</x:v>
      </x:c>
      <x:c r="B447" s="12" t="str">
        <x:f>TRIM(CLEAN(SUBSTITUTE(A447,CHAR(160)," ")))</x:f>
        <x:v>FM000446</x:v>
      </x:c>
      <x:c r="C447" s="14" t="n">
        <x:f>IF(B447="","Thiếu mã",IFERROR(VLOOKUP(B447,'GiaCuoc'!$A$2:$B$501,2,FALSE),"Cần kiểm tra mã"))</x:f>
        <x:v>55000</x:v>
      </x:c>
      <x:c r="D447" s="2" t="str">
        <x:v>Vùng xa</x:v>
      </x:c>
      <x:c r="E447" s="10" t="d">
        <x:v>2026-10-27T17:00:00.000Z</x:v>
      </x:c>
      <x:c r="F447" s="10" t="d">
        <x:v>2026-10-27T16:00:00.000Z</x:v>
      </x:c>
      <x:c r="G447" s="2" t="str">
        <x:f>IF(F447&lt;=E447,"Đúng hẹn","Trễ hẹn")</x:f>
        <x:v>Đúng hẹn</x:v>
      </x:c>
    </x:row>
    <x:row r="448" ht="24" customHeight="1">
      <x:c r="A448" s="11" t="str">
        <x:v>FM000447</x:v>
      </x:c>
      <x:c r="B448" s="12" t="str">
        <x:f>TRIM(CLEAN(SUBSTITUTE(A448,CHAR(160)," ")))</x:f>
        <x:v>FM000447</x:v>
      </x:c>
      <x:c r="C448" s="14" t="n">
        <x:f>IF(B448="","Thiếu mã",IFERROR(VLOOKUP(B448,'GiaCuoc'!$A$2:$B$501,2,FALSE),"Cần kiểm tra mã"))</x:f>
        <x:v>55000</x:v>
      </x:c>
      <x:c r="D448" s="2" t="str">
        <x:v>Vùng xa</x:v>
      </x:c>
      <x:c r="E448" s="10" t="d">
        <x:v>2026-10-27T17:00:00.000Z</x:v>
      </x:c>
      <x:c r="F448" s="10" t="d">
        <x:v>2026-10-27T16:00:00.000Z</x:v>
      </x:c>
      <x:c r="G448" s="2" t="str">
        <x:f>IF(F448&lt;=E448,"Đúng hẹn","Trễ hẹn")</x:f>
        <x:v>Đúng hẹn</x:v>
      </x:c>
    </x:row>
    <x:row r="449" ht="24" customHeight="1">
      <x:c r="A449" s="11" t="str">
        <x:v>FM000448</x:v>
      </x:c>
      <x:c r="B449" s="12" t="str">
        <x:f>TRIM(CLEAN(SUBSTITUTE(A449,CHAR(160)," ")))</x:f>
        <x:v>FM000448</x:v>
      </x:c>
      <x:c r="C449" s="14" t="n">
        <x:f>IF(B449="","Thiếu mã",IFERROR(VLOOKUP(B449,'GiaCuoc'!$A$2:$B$501,2,FALSE),"Cần kiểm tra mã"))</x:f>
        <x:v>55000</x:v>
      </x:c>
      <x:c r="D449" s="2" t="str">
        <x:v>Vùng xa</x:v>
      </x:c>
      <x:c r="E449" s="10" t="d">
        <x:v>2026-10-27T17:00:00.000Z</x:v>
      </x:c>
      <x:c r="F449" s="10" t="d">
        <x:v>2026-10-27T16:00:00.000Z</x:v>
      </x:c>
      <x:c r="G449" s="2" t="str">
        <x:f>IF(F449&lt;=E449,"Đúng hẹn","Trễ hẹn")</x:f>
        <x:v>Đúng hẹn</x:v>
      </x:c>
    </x:row>
    <x:row r="450" ht="24" customHeight="1">
      <x:c r="A450" s="11" t="str">
        <x:v>FM000449</x:v>
      </x:c>
      <x:c r="B450" s="12" t="str">
        <x:f>TRIM(CLEAN(SUBSTITUTE(A450,CHAR(160)," ")))</x:f>
        <x:v>FM000449</x:v>
      </x:c>
      <x:c r="C450" s="14" t="n">
        <x:f>IF(B450="","Thiếu mã",IFERROR(VLOOKUP(B450,'GiaCuoc'!$A$2:$B$501,2,FALSE),"Cần kiểm tra mã"))</x:f>
        <x:v>55000</x:v>
      </x:c>
      <x:c r="D450" s="2" t="str">
        <x:v>Vùng xa</x:v>
      </x:c>
      <x:c r="E450" s="10" t="d">
        <x:v>2026-10-27T17:00:00.000Z</x:v>
      </x:c>
      <x:c r="F450" s="10" t="d">
        <x:v>2026-10-27T16:00:00.000Z</x:v>
      </x:c>
      <x:c r="G450" s="2" t="str">
        <x:f>IF(F450&lt;=E450,"Đúng hẹn","Trễ hẹn")</x:f>
        <x:v>Đúng hẹn</x:v>
      </x:c>
    </x:row>
    <x:row r="451" ht="24" customHeight="1">
      <x:c r="A451" s="11" t="str">
        <x:v>FM000450</x:v>
      </x:c>
      <x:c r="B451" s="12" t="str">
        <x:f>TRIM(CLEAN(SUBSTITUTE(A451,CHAR(160)," ")))</x:f>
        <x:v>FM000450</x:v>
      </x:c>
      <x:c r="C451" s="14" t="n">
        <x:f>IF(B451="","Thiếu mã",IFERROR(VLOOKUP(B451,'GiaCuoc'!$A$2:$B$501,2,FALSE),"Cần kiểm tra mã"))</x:f>
        <x:v>55000</x:v>
      </x:c>
      <x:c r="D451" s="2" t="str">
        <x:v>Vùng xa</x:v>
      </x:c>
      <x:c r="E451" s="10" t="d">
        <x:v>2026-10-27T17:00:00.000Z</x:v>
      </x:c>
      <x:c r="F451" s="10" t="d">
        <x:v>2026-10-27T16:00:00.000Z</x:v>
      </x:c>
      <x:c r="G451" s="2" t="str">
        <x:f>IF(F451&lt;=E451,"Đúng hẹn","Trễ hẹn")</x:f>
        <x:v>Đúng hẹn</x:v>
      </x:c>
    </x:row>
    <x:row r="452" ht="24" customHeight="1">
      <x:c r="A452" s="11" t="str">
        <x:v>FM000451</x:v>
      </x:c>
      <x:c r="B452" s="12" t="str">
        <x:f>TRIM(CLEAN(SUBSTITUTE(A452,CHAR(160)," ")))</x:f>
        <x:v>FM000451</x:v>
      </x:c>
      <x:c r="C452" s="14" t="n">
        <x:f>IF(B452="","Thiếu mã",IFERROR(VLOOKUP(B452,'GiaCuoc'!$A$2:$B$501,2,FALSE),"Cần kiểm tra mã"))</x:f>
        <x:v>55000</x:v>
      </x:c>
      <x:c r="D452" s="2" t="str">
        <x:v>Vùng xa</x:v>
      </x:c>
      <x:c r="E452" s="10" t="d">
        <x:v>2026-10-27T17:00:00.000Z</x:v>
      </x:c>
      <x:c r="F452" s="10" t="d">
        <x:v>2026-10-27T16:00:00.000Z</x:v>
      </x:c>
      <x:c r="G452" s="2" t="str">
        <x:f>IF(F452&lt;=E452,"Đúng hẹn","Trễ hẹn")</x:f>
        <x:v>Đúng hẹn</x:v>
      </x:c>
    </x:row>
    <x:row r="453" ht="24" customHeight="1">
      <x:c r="A453" s="11" t="str">
        <x:v>FM000452</x:v>
      </x:c>
      <x:c r="B453" s="12" t="str">
        <x:f>TRIM(CLEAN(SUBSTITUTE(A453,CHAR(160)," ")))</x:f>
        <x:v>FM000452</x:v>
      </x:c>
      <x:c r="C453" s="14" t="n">
        <x:f>IF(B453="","Thiếu mã",IFERROR(VLOOKUP(B453,'GiaCuoc'!$A$2:$B$501,2,FALSE),"Cần kiểm tra mã"))</x:f>
        <x:v>55000</x:v>
      </x:c>
      <x:c r="D453" s="2" t="str">
        <x:v>Vùng xa</x:v>
      </x:c>
      <x:c r="E453" s="10" t="d">
        <x:v>2026-10-27T17:00:00.000Z</x:v>
      </x:c>
      <x:c r="F453" s="10" t="d">
        <x:v>2026-10-27T16:00:00.000Z</x:v>
      </x:c>
      <x:c r="G453" s="2" t="str">
        <x:f>IF(F453&lt;=E453,"Đúng hẹn","Trễ hẹn")</x:f>
        <x:v>Đúng hẹn</x:v>
      </x:c>
    </x:row>
    <x:row r="454" ht="24" customHeight="1">
      <x:c r="A454" s="11" t="str">
        <x:v>FM000453</x:v>
      </x:c>
      <x:c r="B454" s="12" t="str">
        <x:f>TRIM(CLEAN(SUBSTITUTE(A454,CHAR(160)," ")))</x:f>
        <x:v>FM000453</x:v>
      </x:c>
      <x:c r="C454" s="14" t="n">
        <x:f>IF(B454="","Thiếu mã",IFERROR(VLOOKUP(B454,'GiaCuoc'!$A$2:$B$501,2,FALSE),"Cần kiểm tra mã"))</x:f>
        <x:v>55000</x:v>
      </x:c>
      <x:c r="D454" s="2" t="str">
        <x:v>Vùng xa</x:v>
      </x:c>
      <x:c r="E454" s="10" t="d">
        <x:v>2026-10-27T17:00:00.000Z</x:v>
      </x:c>
      <x:c r="F454" s="10" t="d">
        <x:v>2026-10-27T16:00:00.000Z</x:v>
      </x:c>
      <x:c r="G454" s="2" t="str">
        <x:f>IF(F454&lt;=E454,"Đúng hẹn","Trễ hẹn")</x:f>
        <x:v>Đúng hẹn</x:v>
      </x:c>
    </x:row>
    <x:row r="455" ht="24" customHeight="1">
      <x:c r="A455" s="11" t="str">
        <x:v>FM000454</x:v>
      </x:c>
      <x:c r="B455" s="12" t="str">
        <x:f>TRIM(CLEAN(SUBSTITUTE(A455,CHAR(160)," ")))</x:f>
        <x:v>FM000454</x:v>
      </x:c>
      <x:c r="C455" s="14" t="n">
        <x:f>IF(B455="","Thiếu mã",IFERROR(VLOOKUP(B455,'GiaCuoc'!$A$2:$B$501,2,FALSE),"Cần kiểm tra mã"))</x:f>
        <x:v>55000</x:v>
      </x:c>
      <x:c r="D455" s="2" t="str">
        <x:v>Vùng xa</x:v>
      </x:c>
      <x:c r="E455" s="10" t="d">
        <x:v>2026-10-27T17:00:00.000Z</x:v>
      </x:c>
      <x:c r="F455" s="10" t="d">
        <x:v>2026-10-27T16:00:00.000Z</x:v>
      </x:c>
      <x:c r="G455" s="2" t="str">
        <x:f>IF(F455&lt;=E455,"Đúng hẹn","Trễ hẹn")</x:f>
        <x:v>Đúng hẹn</x:v>
      </x:c>
    </x:row>
    <x:row r="456" ht="24" customHeight="1">
      <x:c r="A456" s="11" t="str">
        <x:v>FM000455</x:v>
      </x:c>
      <x:c r="B456" s="12" t="str">
        <x:f>TRIM(CLEAN(SUBSTITUTE(A456,CHAR(160)," ")))</x:f>
        <x:v>FM000455</x:v>
      </x:c>
      <x:c r="C456" s="14" t="n">
        <x:f>IF(B456="","Thiếu mã",IFERROR(VLOOKUP(B456,'GiaCuoc'!$A$2:$B$501,2,FALSE),"Cần kiểm tra mã"))</x:f>
        <x:v>55000</x:v>
      </x:c>
      <x:c r="D456" s="2" t="str">
        <x:v>Vùng xa</x:v>
      </x:c>
      <x:c r="E456" s="10" t="d">
        <x:v>2026-10-27T17:00:00.000Z</x:v>
      </x:c>
      <x:c r="F456" s="10" t="d">
        <x:v>2026-10-27T16:00:00.000Z</x:v>
      </x:c>
      <x:c r="G456" s="2" t="str">
        <x:f>IF(F456&lt;=E456,"Đúng hẹn","Trễ hẹn")</x:f>
        <x:v>Đúng hẹn</x:v>
      </x:c>
    </x:row>
    <x:row r="457" ht="24" customHeight="1">
      <x:c r="A457" s="11" t="str">
        <x:v>FM000456</x:v>
      </x:c>
      <x:c r="B457" s="12" t="str">
        <x:f>TRIM(CLEAN(SUBSTITUTE(A457,CHAR(160)," ")))</x:f>
        <x:v>FM000456</x:v>
      </x:c>
      <x:c r="C457" s="14" t="n">
        <x:f>IF(B457="","Thiếu mã",IFERROR(VLOOKUP(B457,'GiaCuoc'!$A$2:$B$501,2,FALSE),"Cần kiểm tra mã"))</x:f>
        <x:v>55000</x:v>
      </x:c>
      <x:c r="D457" s="2" t="str">
        <x:v>Vùng xa</x:v>
      </x:c>
      <x:c r="E457" s="10" t="d">
        <x:v>2026-10-27T17:00:00.000Z</x:v>
      </x:c>
      <x:c r="F457" s="10" t="d">
        <x:v>2026-10-27T16:00:00.000Z</x:v>
      </x:c>
      <x:c r="G457" s="2" t="str">
        <x:f>IF(F457&lt;=E457,"Đúng hẹn","Trễ hẹn")</x:f>
        <x:v>Đúng hẹn</x:v>
      </x:c>
    </x:row>
    <x:row r="458" ht="24" customHeight="1">
      <x:c r="A458" s="11" t="str">
        <x:v>FM000457</x:v>
      </x:c>
      <x:c r="B458" s="12" t="str">
        <x:f>TRIM(CLEAN(SUBSTITUTE(A458,CHAR(160)," ")))</x:f>
        <x:v>FM000457</x:v>
      </x:c>
      <x:c r="C458" s="14" t="n">
        <x:f>IF(B458="","Thiếu mã",IFERROR(VLOOKUP(B458,'GiaCuoc'!$A$2:$B$501,2,FALSE),"Cần kiểm tra mã"))</x:f>
        <x:v>55000</x:v>
      </x:c>
      <x:c r="D458" s="2" t="str">
        <x:v>Vùng xa</x:v>
      </x:c>
      <x:c r="E458" s="10" t="d">
        <x:v>2026-10-27T17:00:00.000Z</x:v>
      </x:c>
      <x:c r="F458" s="10" t="d">
        <x:v>2026-10-27T16:00:00.000Z</x:v>
      </x:c>
      <x:c r="G458" s="2" t="str">
        <x:f>IF(F458&lt;=E458,"Đúng hẹn","Trễ hẹn")</x:f>
        <x:v>Đúng hẹn</x:v>
      </x:c>
    </x:row>
    <x:row r="459" ht="24" customHeight="1">
      <x:c r="A459" s="11" t="str">
        <x:v>FM000458</x:v>
      </x:c>
      <x:c r="B459" s="12" t="str">
        <x:f>TRIM(CLEAN(SUBSTITUTE(A459,CHAR(160)," ")))</x:f>
        <x:v>FM000458</x:v>
      </x:c>
      <x:c r="C459" s="14" t="n">
        <x:f>IF(B459="","Thiếu mã",IFERROR(VLOOKUP(B459,'GiaCuoc'!$A$2:$B$501,2,FALSE),"Cần kiểm tra mã"))</x:f>
        <x:v>55000</x:v>
      </x:c>
      <x:c r="D459" s="2" t="str">
        <x:v>Vùng xa</x:v>
      </x:c>
      <x:c r="E459" s="10" t="d">
        <x:v>2026-10-27T17:00:00.000Z</x:v>
      </x:c>
      <x:c r="F459" s="10" t="d">
        <x:v>2026-10-27T16:00:00.000Z</x:v>
      </x:c>
      <x:c r="G459" s="2" t="str">
        <x:f>IF(F459&lt;=E459,"Đúng hẹn","Trễ hẹn")</x:f>
        <x:v>Đúng hẹn</x:v>
      </x:c>
    </x:row>
    <x:row r="460" ht="24" customHeight="1">
      <x:c r="A460" s="11" t="str">
        <x:v>FM000459</x:v>
      </x:c>
      <x:c r="B460" s="12" t="str">
        <x:f>TRIM(CLEAN(SUBSTITUTE(A460,CHAR(160)," ")))</x:f>
        <x:v>FM000459</x:v>
      </x:c>
      <x:c r="C460" s="14" t="n">
        <x:f>IF(B460="","Thiếu mã",IFERROR(VLOOKUP(B460,'GiaCuoc'!$A$2:$B$501,2,FALSE),"Cần kiểm tra mã"))</x:f>
        <x:v>55000</x:v>
      </x:c>
      <x:c r="D460" s="2" t="str">
        <x:v>Vùng xa</x:v>
      </x:c>
      <x:c r="E460" s="10" t="d">
        <x:v>2026-10-27T17:00:00.000Z</x:v>
      </x:c>
      <x:c r="F460" s="10" t="d">
        <x:v>2026-10-27T16:00:00.000Z</x:v>
      </x:c>
      <x:c r="G460" s="2" t="str">
        <x:f>IF(F460&lt;=E460,"Đúng hẹn","Trễ hẹn")</x:f>
        <x:v>Đúng hẹn</x:v>
      </x:c>
    </x:row>
    <x:row r="461" ht="24" customHeight="1">
      <x:c r="A461" s="11" t="str">
        <x:v>FM000460</x:v>
      </x:c>
      <x:c r="B461" s="12" t="str">
        <x:f>TRIM(CLEAN(SUBSTITUTE(A461,CHAR(160)," ")))</x:f>
        <x:v>FM000460</x:v>
      </x:c>
      <x:c r="C461" s="14" t="n">
        <x:f>IF(B461="","Thiếu mã",IFERROR(VLOOKUP(B461,'GiaCuoc'!$A$2:$B$501,2,FALSE),"Cần kiểm tra mã"))</x:f>
        <x:v>55000</x:v>
      </x:c>
      <x:c r="D461" s="2" t="str">
        <x:v>Vùng xa</x:v>
      </x:c>
      <x:c r="E461" s="10" t="d">
        <x:v>2026-10-27T17:00:00.000Z</x:v>
      </x:c>
      <x:c r="F461" s="10" t="d">
        <x:v>2026-10-27T16:00:00.000Z</x:v>
      </x:c>
      <x:c r="G461" s="2" t="str">
        <x:f>IF(F461&lt;=E461,"Đúng hẹn","Trễ hẹn")</x:f>
        <x:v>Đúng hẹn</x:v>
      </x:c>
    </x:row>
    <x:row r="462" ht="24" customHeight="1">
      <x:c r="A462" s="11" t="str">
        <x:v>FM000461</x:v>
      </x:c>
      <x:c r="B462" s="12" t="str">
        <x:f>TRIM(CLEAN(SUBSTITUTE(A462,CHAR(160)," ")))</x:f>
        <x:v>FM000461</x:v>
      </x:c>
      <x:c r="C462" s="14" t="n">
        <x:f>IF(B462="","Thiếu mã",IFERROR(VLOOKUP(B462,'GiaCuoc'!$A$2:$B$501,2,FALSE),"Cần kiểm tra mã"))</x:f>
        <x:v>55000</x:v>
      </x:c>
      <x:c r="D462" s="2" t="str">
        <x:v>Vùng xa</x:v>
      </x:c>
      <x:c r="E462" s="10" t="d">
        <x:v>2026-10-27T17:00:00.000Z</x:v>
      </x:c>
      <x:c r="F462" s="10" t="d">
        <x:v>2026-10-27T16:00:00.000Z</x:v>
      </x:c>
      <x:c r="G462" s="2" t="str">
        <x:f>IF(F462&lt;=E462,"Đúng hẹn","Trễ hẹn")</x:f>
        <x:v>Đúng hẹn</x:v>
      </x:c>
    </x:row>
    <x:row r="463" ht="24" customHeight="1">
      <x:c r="A463" s="11" t="str">
        <x:v>FM000462</x:v>
      </x:c>
      <x:c r="B463" s="12" t="str">
        <x:f>TRIM(CLEAN(SUBSTITUTE(A463,CHAR(160)," ")))</x:f>
        <x:v>FM000462</x:v>
      </x:c>
      <x:c r="C463" s="14" t="n">
        <x:f>IF(B463="","Thiếu mã",IFERROR(VLOOKUP(B463,'GiaCuoc'!$A$2:$B$501,2,FALSE),"Cần kiểm tra mã"))</x:f>
        <x:v>55000</x:v>
      </x:c>
      <x:c r="D463" s="2" t="str">
        <x:v>Vùng xa</x:v>
      </x:c>
      <x:c r="E463" s="10" t="d">
        <x:v>2026-10-27T17:00:00.000Z</x:v>
      </x:c>
      <x:c r="F463" s="10" t="d">
        <x:v>2026-10-27T16:00:00.000Z</x:v>
      </x:c>
      <x:c r="G463" s="2" t="str">
        <x:f>IF(F463&lt;=E463,"Đúng hẹn","Trễ hẹn")</x:f>
        <x:v>Đúng hẹn</x:v>
      </x:c>
    </x:row>
    <x:row r="464" ht="24" customHeight="1">
      <x:c r="A464" s="11" t="str">
        <x:v>FM000463</x:v>
      </x:c>
      <x:c r="B464" s="12" t="str">
        <x:f>TRIM(CLEAN(SUBSTITUTE(A464,CHAR(160)," ")))</x:f>
        <x:v>FM000463</x:v>
      </x:c>
      <x:c r="C464" s="14" t="n">
        <x:f>IF(B464="","Thiếu mã",IFERROR(VLOOKUP(B464,'GiaCuoc'!$A$2:$B$501,2,FALSE),"Cần kiểm tra mã"))</x:f>
        <x:v>55000</x:v>
      </x:c>
      <x:c r="D464" s="2" t="str">
        <x:v>Vùng xa</x:v>
      </x:c>
      <x:c r="E464" s="10" t="d">
        <x:v>2026-10-27T17:00:00.000Z</x:v>
      </x:c>
      <x:c r="F464" s="10" t="d">
        <x:v>2026-10-27T16:00:00.000Z</x:v>
      </x:c>
      <x:c r="G464" s="2" t="str">
        <x:f>IF(F464&lt;=E464,"Đúng hẹn","Trễ hẹn")</x:f>
        <x:v>Đúng hẹn</x:v>
      </x:c>
    </x:row>
    <x:row r="465" ht="24" customHeight="1">
      <x:c r="A465" s="11" t="str">
        <x:v>FM000464</x:v>
      </x:c>
      <x:c r="B465" s="12" t="str">
        <x:f>TRIM(CLEAN(SUBSTITUTE(A465,CHAR(160)," ")))</x:f>
        <x:v>FM000464</x:v>
      </x:c>
      <x:c r="C465" s="14" t="n">
        <x:f>IF(B465="","Thiếu mã",IFERROR(VLOOKUP(B465,'GiaCuoc'!$A$2:$B$501,2,FALSE),"Cần kiểm tra mã"))</x:f>
        <x:v>55000</x:v>
      </x:c>
      <x:c r="D465" s="2" t="str">
        <x:v>Vùng xa</x:v>
      </x:c>
      <x:c r="E465" s="10" t="d">
        <x:v>2026-10-27T17:00:00.000Z</x:v>
      </x:c>
      <x:c r="F465" s="10" t="d">
        <x:v>2026-10-27T16:00:00.000Z</x:v>
      </x:c>
      <x:c r="G465" s="2" t="str">
        <x:f>IF(F465&lt;=E465,"Đúng hẹn","Trễ hẹn")</x:f>
        <x:v>Đúng hẹn</x:v>
      </x:c>
    </x:row>
    <x:row r="466" ht="24" customHeight="1">
      <x:c r="A466" s="11" t="str">
        <x:v>FM000465</x:v>
      </x:c>
      <x:c r="B466" s="12" t="str">
        <x:f>TRIM(CLEAN(SUBSTITUTE(A466,CHAR(160)," ")))</x:f>
        <x:v>FM000465</x:v>
      </x:c>
      <x:c r="C466" s="14" t="n">
        <x:f>IF(B466="","Thiếu mã",IFERROR(VLOOKUP(B466,'GiaCuoc'!$A$2:$B$501,2,FALSE),"Cần kiểm tra mã"))</x:f>
        <x:v>55000</x:v>
      </x:c>
      <x:c r="D466" s="2" t="str">
        <x:v>Vùng xa</x:v>
      </x:c>
      <x:c r="E466" s="10" t="d">
        <x:v>2026-10-27T17:00:00.000Z</x:v>
      </x:c>
      <x:c r="F466" s="10" t="d">
        <x:v>2026-10-27T16:00:00.000Z</x:v>
      </x:c>
      <x:c r="G466" s="2" t="str">
        <x:f>IF(F466&lt;=E466,"Đúng hẹn","Trễ hẹn")</x:f>
        <x:v>Đúng hẹn</x:v>
      </x:c>
    </x:row>
    <x:row r="467" ht="24" customHeight="1">
      <x:c r="A467" s="11" t="str">
        <x:v>FM000466</x:v>
      </x:c>
      <x:c r="B467" s="12" t="str">
        <x:f>TRIM(CLEAN(SUBSTITUTE(A467,CHAR(160)," ")))</x:f>
        <x:v>FM000466</x:v>
      </x:c>
      <x:c r="C467" s="14" t="n">
        <x:f>IF(B467="","Thiếu mã",IFERROR(VLOOKUP(B467,'GiaCuoc'!$A$2:$B$501,2,FALSE),"Cần kiểm tra mã"))</x:f>
        <x:v>55000</x:v>
      </x:c>
      <x:c r="D467" s="2" t="str">
        <x:v>Vùng xa</x:v>
      </x:c>
      <x:c r="E467" s="10" t="d">
        <x:v>2026-10-27T17:00:00.000Z</x:v>
      </x:c>
      <x:c r="F467" s="10" t="d">
        <x:v>2026-10-27T16:00:00.000Z</x:v>
      </x:c>
      <x:c r="G467" s="2" t="str">
        <x:f>IF(F467&lt;=E467,"Đúng hẹn","Trễ hẹn")</x:f>
        <x:v>Đúng hẹn</x:v>
      </x:c>
    </x:row>
    <x:row r="468" ht="24" customHeight="1">
      <x:c r="A468" s="11" t="str">
        <x:v>FM000467</x:v>
      </x:c>
      <x:c r="B468" s="12" t="str">
        <x:f>TRIM(CLEAN(SUBSTITUTE(A468,CHAR(160)," ")))</x:f>
        <x:v>FM000467</x:v>
      </x:c>
      <x:c r="C468" s="14" t="n">
        <x:f>IF(B468="","Thiếu mã",IFERROR(VLOOKUP(B468,'GiaCuoc'!$A$2:$B$501,2,FALSE),"Cần kiểm tra mã"))</x:f>
        <x:v>55000</x:v>
      </x:c>
      <x:c r="D468" s="2" t="str">
        <x:v>Vùng xa</x:v>
      </x:c>
      <x:c r="E468" s="10" t="d">
        <x:v>2026-10-27T17:00:00.000Z</x:v>
      </x:c>
      <x:c r="F468" s="10" t="d">
        <x:v>2026-10-27T16:00:00.000Z</x:v>
      </x:c>
      <x:c r="G468" s="2" t="str">
        <x:f>IF(F468&lt;=E468,"Đúng hẹn","Trễ hẹn")</x:f>
        <x:v>Đúng hẹn</x:v>
      </x:c>
    </x:row>
    <x:row r="469" ht="24" customHeight="1">
      <x:c r="A469" s="11" t="str">
        <x:v>FM000468</x:v>
      </x:c>
      <x:c r="B469" s="12" t="str">
        <x:f>TRIM(CLEAN(SUBSTITUTE(A469,CHAR(160)," ")))</x:f>
        <x:v>FM000468</x:v>
      </x:c>
      <x:c r="C469" s="14" t="n">
        <x:f>IF(B469="","Thiếu mã",IFERROR(VLOOKUP(B469,'GiaCuoc'!$A$2:$B$501,2,FALSE),"Cần kiểm tra mã"))</x:f>
        <x:v>55000</x:v>
      </x:c>
      <x:c r="D469" s="2" t="str">
        <x:v>Vùng xa</x:v>
      </x:c>
      <x:c r="E469" s="10" t="d">
        <x:v>2026-10-27T17:00:00.000Z</x:v>
      </x:c>
      <x:c r="F469" s="10" t="d">
        <x:v>2026-10-27T16:00:00.000Z</x:v>
      </x:c>
      <x:c r="G469" s="2" t="str">
        <x:f>IF(F469&lt;=E469,"Đúng hẹn","Trễ hẹn")</x:f>
        <x:v>Đúng hẹn</x:v>
      </x:c>
    </x:row>
    <x:row r="470" ht="24" customHeight="1">
      <x:c r="A470" s="11" t="str">
        <x:v>FM000469</x:v>
      </x:c>
      <x:c r="B470" s="12" t="str">
        <x:f>TRIM(CLEAN(SUBSTITUTE(A470,CHAR(160)," ")))</x:f>
        <x:v>FM000469</x:v>
      </x:c>
      <x:c r="C470" s="14" t="n">
        <x:f>IF(B470="","Thiếu mã",IFERROR(VLOOKUP(B470,'GiaCuoc'!$A$2:$B$501,2,FALSE),"Cần kiểm tra mã"))</x:f>
        <x:v>55000</x:v>
      </x:c>
      <x:c r="D470" s="2" t="str">
        <x:v>Vùng xa</x:v>
      </x:c>
      <x:c r="E470" s="10" t="d">
        <x:v>2026-10-27T17:00:00.000Z</x:v>
      </x:c>
      <x:c r="F470" s="10" t="d">
        <x:v>2026-10-27T16:00:00.000Z</x:v>
      </x:c>
      <x:c r="G470" s="2" t="str">
        <x:f>IF(F470&lt;=E470,"Đúng hẹn","Trễ hẹn")</x:f>
        <x:v>Đúng hẹn</x:v>
      </x:c>
    </x:row>
    <x:row r="471" ht="24" customHeight="1">
      <x:c r="A471" s="11" t="str">
        <x:v>FM000470</x:v>
      </x:c>
      <x:c r="B471" s="12" t="str">
        <x:f>TRIM(CLEAN(SUBSTITUTE(A471,CHAR(160)," ")))</x:f>
        <x:v>FM000470</x:v>
      </x:c>
      <x:c r="C471" s="14" t="n">
        <x:f>IF(B471="","Thiếu mã",IFERROR(VLOOKUP(B471,'GiaCuoc'!$A$2:$B$501,2,FALSE),"Cần kiểm tra mã"))</x:f>
        <x:v>55000</x:v>
      </x:c>
      <x:c r="D471" s="2" t="str">
        <x:v>Vùng xa</x:v>
      </x:c>
      <x:c r="E471" s="10" t="d">
        <x:v>2026-10-27T17:00:00.000Z</x:v>
      </x:c>
      <x:c r="F471" s="10" t="d">
        <x:v>2026-10-27T16:00:00.000Z</x:v>
      </x:c>
      <x:c r="G471" s="2" t="str">
        <x:f>IF(F471&lt;=E471,"Đúng hẹn","Trễ hẹn")</x:f>
        <x:v>Đúng hẹn</x:v>
      </x:c>
    </x:row>
    <x:row r="472" ht="24" customHeight="1">
      <x:c r="A472" s="11" t="str">
        <x:v>FM000471</x:v>
      </x:c>
      <x:c r="B472" s="12" t="str">
        <x:f>TRIM(CLEAN(SUBSTITUTE(A472,CHAR(160)," ")))</x:f>
        <x:v>FM000471</x:v>
      </x:c>
      <x:c r="C472" s="14" t="n">
        <x:f>IF(B472="","Thiếu mã",IFERROR(VLOOKUP(B472,'GiaCuoc'!$A$2:$B$501,2,FALSE),"Cần kiểm tra mã"))</x:f>
        <x:v>55000</x:v>
      </x:c>
      <x:c r="D472" s="2" t="str">
        <x:v>Vùng xa</x:v>
      </x:c>
      <x:c r="E472" s="10" t="d">
        <x:v>2026-10-27T17:00:00.000Z</x:v>
      </x:c>
      <x:c r="F472" s="10" t="d">
        <x:v>2026-10-27T16:00:00.000Z</x:v>
      </x:c>
      <x:c r="G472" s="2" t="str">
        <x:f>IF(F472&lt;=E472,"Đúng hẹn","Trễ hẹn")</x:f>
        <x:v>Đúng hẹn</x:v>
      </x:c>
    </x:row>
    <x:row r="473" ht="24" customHeight="1">
      <x:c r="A473" s="11" t="str">
        <x:v>FM000472</x:v>
      </x:c>
      <x:c r="B473" s="12" t="str">
        <x:f>TRIM(CLEAN(SUBSTITUTE(A473,CHAR(160)," ")))</x:f>
        <x:v>FM000472</x:v>
      </x:c>
      <x:c r="C473" s="14" t="n">
        <x:f>IF(B473="","Thiếu mã",IFERROR(VLOOKUP(B473,'GiaCuoc'!$A$2:$B$501,2,FALSE),"Cần kiểm tra mã"))</x:f>
        <x:v>55000</x:v>
      </x:c>
      <x:c r="D473" s="2" t="str">
        <x:v>Vùng xa</x:v>
      </x:c>
      <x:c r="E473" s="10" t="d">
        <x:v>2026-10-27T17:00:00.000Z</x:v>
      </x:c>
      <x:c r="F473" s="10" t="d">
        <x:v>2026-10-27T16:00:00.000Z</x:v>
      </x:c>
      <x:c r="G473" s="2" t="str">
        <x:f>IF(F473&lt;=E473,"Đúng hẹn","Trễ hẹn")</x:f>
        <x:v>Đúng hẹn</x:v>
      </x:c>
    </x:row>
    <x:row r="474" ht="24" customHeight="1">
      <x:c r="A474" s="11" t="str">
        <x:v>FM000473</x:v>
      </x:c>
      <x:c r="B474" s="12" t="str">
        <x:f>TRIM(CLEAN(SUBSTITUTE(A474,CHAR(160)," ")))</x:f>
        <x:v>FM000473</x:v>
      </x:c>
      <x:c r="C474" s="14" t="n">
        <x:f>IF(B474="","Thiếu mã",IFERROR(VLOOKUP(B474,'GiaCuoc'!$A$2:$B$501,2,FALSE),"Cần kiểm tra mã"))</x:f>
        <x:v>55000</x:v>
      </x:c>
      <x:c r="D474" s="2" t="str">
        <x:v>Vùng xa</x:v>
      </x:c>
      <x:c r="E474" s="10" t="d">
        <x:v>2026-10-27T17:00:00.000Z</x:v>
      </x:c>
      <x:c r="F474" s="10" t="d">
        <x:v>2026-10-27T16:00:00.000Z</x:v>
      </x:c>
      <x:c r="G474" s="2" t="str">
        <x:f>IF(F474&lt;=E474,"Đúng hẹn","Trễ hẹn")</x:f>
        <x:v>Đúng hẹn</x:v>
      </x:c>
    </x:row>
    <x:row r="475" ht="24" customHeight="1">
      <x:c r="A475" s="11" t="str">
        <x:v>FM000474</x:v>
      </x:c>
      <x:c r="B475" s="12" t="str">
        <x:f>TRIM(CLEAN(SUBSTITUTE(A475,CHAR(160)," ")))</x:f>
        <x:v>FM000474</x:v>
      </x:c>
      <x:c r="C475" s="14" t="n">
        <x:f>IF(B475="","Thiếu mã",IFERROR(VLOOKUP(B475,'GiaCuoc'!$A$2:$B$501,2,FALSE),"Cần kiểm tra mã"))</x:f>
        <x:v>55000</x:v>
      </x:c>
      <x:c r="D475" s="2" t="str">
        <x:v>Vùng xa</x:v>
      </x:c>
      <x:c r="E475" s="10" t="d">
        <x:v>2026-10-27T17:00:00.000Z</x:v>
      </x:c>
      <x:c r="F475" s="10" t="d">
        <x:v>2026-10-27T16:00:00.000Z</x:v>
      </x:c>
      <x:c r="G475" s="2" t="str">
        <x:f>IF(F475&lt;=E475,"Đúng hẹn","Trễ hẹn")</x:f>
        <x:v>Đúng hẹn</x:v>
      </x:c>
    </x:row>
    <x:row r="476" ht="24" customHeight="1">
      <x:c r="A476" s="11" t="str">
        <x:v>FM000475</x:v>
      </x:c>
      <x:c r="B476" s="12" t="str">
        <x:f>TRIM(CLEAN(SUBSTITUTE(A476,CHAR(160)," ")))</x:f>
        <x:v>FM000475</x:v>
      </x:c>
      <x:c r="C476" s="14" t="n">
        <x:f>IF(B476="","Thiếu mã",IFERROR(VLOOKUP(B476,'GiaCuoc'!$A$2:$B$501,2,FALSE),"Cần kiểm tra mã"))</x:f>
        <x:v>55000</x:v>
      </x:c>
      <x:c r="D476" s="2" t="str">
        <x:v>Vùng xa</x:v>
      </x:c>
      <x:c r="E476" s="10" t="d">
        <x:v>2026-10-27T17:00:00.000Z</x:v>
      </x:c>
      <x:c r="F476" s="10" t="d">
        <x:v>2026-10-27T16:00:00.000Z</x:v>
      </x:c>
      <x:c r="G476" s="2" t="str">
        <x:f>IF(F476&lt;=E476,"Đúng hẹn","Trễ hẹn")</x:f>
        <x:v>Đúng hẹn</x:v>
      </x:c>
    </x:row>
    <x:row r="477" ht="24" customHeight="1">
      <x:c r="A477" s="11" t="str">
        <x:v>FM000476</x:v>
      </x:c>
      <x:c r="B477" s="12" t="str">
        <x:f>TRIM(CLEAN(SUBSTITUTE(A477,CHAR(160)," ")))</x:f>
        <x:v>FM000476</x:v>
      </x:c>
      <x:c r="C477" s="14" t="n">
        <x:f>IF(B477="","Thiếu mã",IFERROR(VLOOKUP(B477,'GiaCuoc'!$A$2:$B$501,2,FALSE),"Cần kiểm tra mã"))</x:f>
        <x:v>55000</x:v>
      </x:c>
      <x:c r="D477" s="2" t="str">
        <x:v>Vùng xa</x:v>
      </x:c>
      <x:c r="E477" s="10" t="d">
        <x:v>2026-10-27T17:00:00.000Z</x:v>
      </x:c>
      <x:c r="F477" s="10" t="d">
        <x:v>2026-10-27T19:00:00.000Z</x:v>
      </x:c>
      <x:c r="G477" s="2" t="str">
        <x:f>IF(F477&lt;=E477,"Đúng hẹn","Trễ hẹn")</x:f>
        <x:v>Trễ hẹn</x:v>
      </x:c>
    </x:row>
    <x:row r="478" ht="24" customHeight="1">
      <x:c r="A478" s="11" t="str">
        <x:v>FM000477</x:v>
      </x:c>
      <x:c r="B478" s="12" t="str">
        <x:f>TRIM(CLEAN(SUBSTITUTE(A478,CHAR(160)," ")))</x:f>
        <x:v>FM000477</x:v>
      </x:c>
      <x:c r="C478" s="14" t="n">
        <x:f>IF(B478="","Thiếu mã",IFERROR(VLOOKUP(B478,'GiaCuoc'!$A$2:$B$501,2,FALSE),"Cần kiểm tra mã"))</x:f>
        <x:v>55000</x:v>
      </x:c>
      <x:c r="D478" s="2" t="str">
        <x:v>Vùng xa</x:v>
      </x:c>
      <x:c r="E478" s="10" t="d">
        <x:v>2026-10-27T17:00:00.000Z</x:v>
      </x:c>
      <x:c r="F478" s="10" t="d">
        <x:v>2026-10-27T19:00:00.000Z</x:v>
      </x:c>
      <x:c r="G478" s="2" t="str">
        <x:f>IF(F478&lt;=E478,"Đúng hẹn","Trễ hẹn")</x:f>
        <x:v>Trễ hẹn</x:v>
      </x:c>
    </x:row>
    <x:row r="479" ht="24" customHeight="1">
      <x:c r="A479" s="11" t="str">
        <x:v>FM000478</x:v>
      </x:c>
      <x:c r="B479" s="12" t="str">
        <x:f>TRIM(CLEAN(SUBSTITUTE(A479,CHAR(160)," ")))</x:f>
        <x:v>FM000478</x:v>
      </x:c>
      <x:c r="C479" s="14" t="n">
        <x:f>IF(B479="","Thiếu mã",IFERROR(VLOOKUP(B479,'GiaCuoc'!$A$2:$B$501,2,FALSE),"Cần kiểm tra mã"))</x:f>
        <x:v>55000</x:v>
      </x:c>
      <x:c r="D479" s="2" t="str">
        <x:v>Vùng xa</x:v>
      </x:c>
      <x:c r="E479" s="10" t="d">
        <x:v>2026-10-27T17:00:00.000Z</x:v>
      </x:c>
      <x:c r="F479" s="10" t="d">
        <x:v>2026-10-27T19:00:00.000Z</x:v>
      </x:c>
      <x:c r="G479" s="2" t="str">
        <x:f>IF(F479&lt;=E479,"Đúng hẹn","Trễ hẹn")</x:f>
        <x:v>Trễ hẹn</x:v>
      </x:c>
    </x:row>
    <x:row r="480" ht="24" customHeight="1">
      <x:c r="A480" s="11" t="str">
        <x:v>FM000479</x:v>
      </x:c>
      <x:c r="B480" s="12" t="str">
        <x:f>TRIM(CLEAN(SUBSTITUTE(A480,CHAR(160)," ")))</x:f>
        <x:v>FM000479</x:v>
      </x:c>
      <x:c r="C480" s="14" t="n">
        <x:f>IF(B480="","Thiếu mã",IFERROR(VLOOKUP(B480,'GiaCuoc'!$A$2:$B$501,2,FALSE),"Cần kiểm tra mã"))</x:f>
        <x:v>55000</x:v>
      </x:c>
      <x:c r="D480" s="2" t="str">
        <x:v>Vùng xa</x:v>
      </x:c>
      <x:c r="E480" s="10" t="d">
        <x:v>2026-10-27T17:00:00.000Z</x:v>
      </x:c>
      <x:c r="F480" s="10" t="d">
        <x:v>2026-10-27T19:00:00.000Z</x:v>
      </x:c>
      <x:c r="G480" s="2" t="str">
        <x:f>IF(F480&lt;=E480,"Đúng hẹn","Trễ hẹn")</x:f>
        <x:v>Trễ hẹn</x:v>
      </x:c>
    </x:row>
    <x:row r="481" ht="24" customHeight="1">
      <x:c r="A481" s="11" t="str">
        <x:v>FM000480</x:v>
      </x:c>
      <x:c r="B481" s="12" t="str">
        <x:f>TRIM(CLEAN(SUBSTITUTE(A481,CHAR(160)," ")))</x:f>
        <x:v>FM000480</x:v>
      </x:c>
      <x:c r="C481" s="14" t="n">
        <x:f>IF(B481="","Thiếu mã",IFERROR(VLOOKUP(B481,'GiaCuoc'!$A$2:$B$501,2,FALSE),"Cần kiểm tra mã"))</x:f>
        <x:v>55000</x:v>
      </x:c>
      <x:c r="D481" s="2" t="str">
        <x:v>Vùng xa</x:v>
      </x:c>
      <x:c r="E481" s="10" t="d">
        <x:v>2026-10-27T17:00:00.000Z</x:v>
      </x:c>
      <x:c r="F481" s="10" t="d">
        <x:v>2026-10-27T19:00:00.000Z</x:v>
      </x:c>
      <x:c r="G481" s="2" t="str">
        <x:f>IF(F481&lt;=E481,"Đúng hẹn","Trễ hẹn")</x:f>
        <x:v>Trễ hẹn</x:v>
      </x:c>
    </x:row>
    <x:row r="482" ht="24" customHeight="1">
      <x:c r="A482" s="11" t="str">
        <x:v>FM000481</x:v>
      </x:c>
      <x:c r="B482" s="12" t="str">
        <x:f>TRIM(CLEAN(SUBSTITUTE(A482,CHAR(160)," ")))</x:f>
        <x:v>FM000481</x:v>
      </x:c>
      <x:c r="C482" s="14" t="n">
        <x:f>IF(B482="","Thiếu mã",IFERROR(VLOOKUP(B482,'GiaCuoc'!$A$2:$B$501,2,FALSE),"Cần kiểm tra mã"))</x:f>
        <x:v>55000</x:v>
      </x:c>
      <x:c r="D482" s="2" t="str">
        <x:v>Vùng xa</x:v>
      </x:c>
      <x:c r="E482" s="10" t="d">
        <x:v>2026-10-27T17:00:00.000Z</x:v>
      </x:c>
      <x:c r="F482" s="10" t="d">
        <x:v>2026-10-27T19:00:00.000Z</x:v>
      </x:c>
      <x:c r="G482" s="2" t="str">
        <x:f>IF(F482&lt;=E482,"Đúng hẹn","Trễ hẹn")</x:f>
        <x:v>Trễ hẹn</x:v>
      </x:c>
    </x:row>
    <x:row r="483" ht="24" customHeight="1">
      <x:c r="A483" s="11" t="str">
        <x:v>FM000482</x:v>
      </x:c>
      <x:c r="B483" s="12" t="str">
        <x:f>TRIM(CLEAN(SUBSTITUTE(A483,CHAR(160)," ")))</x:f>
        <x:v>FM000482</x:v>
      </x:c>
      <x:c r="C483" s="14" t="n">
        <x:f>IF(B483="","Thiếu mã",IFERROR(VLOOKUP(B483,'GiaCuoc'!$A$2:$B$501,2,FALSE),"Cần kiểm tra mã"))</x:f>
        <x:v>55000</x:v>
      </x:c>
      <x:c r="D483" s="2" t="str">
        <x:v>Vùng xa</x:v>
      </x:c>
      <x:c r="E483" s="10" t="d">
        <x:v>2026-10-27T17:00:00.000Z</x:v>
      </x:c>
      <x:c r="F483" s="10" t="d">
        <x:v>2026-10-27T19:00:00.000Z</x:v>
      </x:c>
      <x:c r="G483" s="2" t="str">
        <x:f>IF(F483&lt;=E483,"Đúng hẹn","Trễ hẹn")</x:f>
        <x:v>Trễ hẹn</x:v>
      </x:c>
    </x:row>
    <x:row r="484" ht="24" customHeight="1">
      <x:c r="A484" s="11" t="str">
        <x:v>FM000483</x:v>
      </x:c>
      <x:c r="B484" s="12" t="str">
        <x:f>TRIM(CLEAN(SUBSTITUTE(A484,CHAR(160)," ")))</x:f>
        <x:v>FM000483</x:v>
      </x:c>
      <x:c r="C484" s="14" t="n">
        <x:f>IF(B484="","Thiếu mã",IFERROR(VLOOKUP(B484,'GiaCuoc'!$A$2:$B$501,2,FALSE),"Cần kiểm tra mã"))</x:f>
        <x:v>55000</x:v>
      </x:c>
      <x:c r="D484" s="2" t="str">
        <x:v>Vùng xa</x:v>
      </x:c>
      <x:c r="E484" s="10" t="d">
        <x:v>2026-10-27T17:00:00.000Z</x:v>
      </x:c>
      <x:c r="F484" s="10" t="d">
        <x:v>2026-10-27T19:00:00.000Z</x:v>
      </x:c>
      <x:c r="G484" s="2" t="str">
        <x:f>IF(F484&lt;=E484,"Đúng hẹn","Trễ hẹn")</x:f>
        <x:v>Trễ hẹn</x:v>
      </x:c>
    </x:row>
    <x:row r="485" ht="24" customHeight="1">
      <x:c r="A485" s="11" t="str">
        <x:v>FM000484</x:v>
      </x:c>
      <x:c r="B485" s="12" t="str">
        <x:f>TRIM(CLEAN(SUBSTITUTE(A485,CHAR(160)," ")))</x:f>
        <x:v>FM000484</x:v>
      </x:c>
      <x:c r="C485" s="14" t="n">
        <x:f>IF(B485="","Thiếu mã",IFERROR(VLOOKUP(B485,'GiaCuoc'!$A$2:$B$501,2,FALSE),"Cần kiểm tra mã"))</x:f>
        <x:v>55000</x:v>
      </x:c>
      <x:c r="D485" s="2" t="str">
        <x:v>Vùng xa</x:v>
      </x:c>
      <x:c r="E485" s="10" t="d">
        <x:v>2026-10-27T17:00:00.000Z</x:v>
      </x:c>
      <x:c r="F485" s="10" t="d">
        <x:v>2026-10-27T19:00:00.000Z</x:v>
      </x:c>
      <x:c r="G485" s="2" t="str">
        <x:f>IF(F485&lt;=E485,"Đúng hẹn","Trễ hẹn")</x:f>
        <x:v>Trễ hẹn</x:v>
      </x:c>
    </x:row>
    <x:row r="486" ht="24" customHeight="1">
      <x:c r="A486" s="11" t="str">
        <x:v>FM000485</x:v>
      </x:c>
      <x:c r="B486" s="12" t="str">
        <x:f>TRIM(CLEAN(SUBSTITUTE(A486,CHAR(160)," ")))</x:f>
        <x:v>FM000485</x:v>
      </x:c>
      <x:c r="C486" s="14" t="n">
        <x:f>IF(B486="","Thiếu mã",IFERROR(VLOOKUP(B486,'GiaCuoc'!$A$2:$B$501,2,FALSE),"Cần kiểm tra mã"))</x:f>
        <x:v>55000</x:v>
      </x:c>
      <x:c r="D486" s="2" t="str">
        <x:v>Vùng xa</x:v>
      </x:c>
      <x:c r="E486" s="10" t="d">
        <x:v>2026-10-27T17:00:00.000Z</x:v>
      </x:c>
      <x:c r="F486" s="10" t="d">
        <x:v>2026-10-27T19:00:00.000Z</x:v>
      </x:c>
      <x:c r="G486" s="2" t="str">
        <x:f>IF(F486&lt;=E486,"Đúng hẹn","Trễ hẹn")</x:f>
        <x:v>Trễ hẹn</x:v>
      </x:c>
    </x:row>
    <x:row r="487" ht="24" customHeight="1">
      <x:c r="A487" s="11" t="str">
        <x:v>FM000486</x:v>
      </x:c>
      <x:c r="B487" s="12" t="str">
        <x:f>TRIM(CLEAN(SUBSTITUTE(A487,CHAR(160)," ")))</x:f>
        <x:v>FM000486</x:v>
      </x:c>
      <x:c r="C487" s="14" t="n">
        <x:f>IF(B487="","Thiếu mã",IFERROR(VLOOKUP(B487,'GiaCuoc'!$A$2:$B$501,2,FALSE),"Cần kiểm tra mã"))</x:f>
        <x:v>55000</x:v>
      </x:c>
      <x:c r="D487" s="2" t="str">
        <x:v>Vùng xa</x:v>
      </x:c>
      <x:c r="E487" s="10" t="d">
        <x:v>2026-10-27T17:00:00.000Z</x:v>
      </x:c>
      <x:c r="F487" s="10" t="d">
        <x:v>2026-10-27T19:00:00.000Z</x:v>
      </x:c>
      <x:c r="G487" s="2" t="str">
        <x:f>IF(F487&lt;=E487,"Đúng hẹn","Trễ hẹn")</x:f>
        <x:v>Trễ hẹn</x:v>
      </x:c>
    </x:row>
    <x:row r="488" ht="24" customHeight="1">
      <x:c r="A488" s="11" t="str">
        <x:v>FM000487</x:v>
      </x:c>
      <x:c r="B488" s="12" t="str">
        <x:f>TRIM(CLEAN(SUBSTITUTE(A488,CHAR(160)," ")))</x:f>
        <x:v>FM000487</x:v>
      </x:c>
      <x:c r="C488" s="14" t="n">
        <x:f>IF(B488="","Thiếu mã",IFERROR(VLOOKUP(B488,'GiaCuoc'!$A$2:$B$501,2,FALSE),"Cần kiểm tra mã"))</x:f>
        <x:v>55000</x:v>
      </x:c>
      <x:c r="D488" s="2" t="str">
        <x:v>Vùng xa</x:v>
      </x:c>
      <x:c r="E488" s="10" t="d">
        <x:v>2026-10-27T17:00:00.000Z</x:v>
      </x:c>
      <x:c r="F488" s="10" t="d">
        <x:v>2026-10-27T19:00:00.000Z</x:v>
      </x:c>
      <x:c r="G488" s="2" t="str">
        <x:f>IF(F488&lt;=E488,"Đúng hẹn","Trễ hẹn")</x:f>
        <x:v>Trễ hẹn</x:v>
      </x:c>
    </x:row>
    <x:row r="489" ht="24" customHeight="1">
      <x:c r="A489" s="11" t="str">
        <x:v>FM000488</x:v>
      </x:c>
      <x:c r="B489" s="12" t="str">
        <x:f>TRIM(CLEAN(SUBSTITUTE(A489,CHAR(160)," ")))</x:f>
        <x:v>FM000488</x:v>
      </x:c>
      <x:c r="C489" s="14" t="n">
        <x:f>IF(B489="","Thiếu mã",IFERROR(VLOOKUP(B489,'GiaCuoc'!$A$2:$B$501,2,FALSE),"Cần kiểm tra mã"))</x:f>
        <x:v>55000</x:v>
      </x:c>
      <x:c r="D489" s="2" t="str">
        <x:v>Vùng xa</x:v>
      </x:c>
      <x:c r="E489" s="10" t="d">
        <x:v>2026-10-27T17:00:00.000Z</x:v>
      </x:c>
      <x:c r="F489" s="10" t="d">
        <x:v>2026-10-27T19:00:00.000Z</x:v>
      </x:c>
      <x:c r="G489" s="2" t="str">
        <x:f>IF(F489&lt;=E489,"Đúng hẹn","Trễ hẹn")</x:f>
        <x:v>Trễ hẹn</x:v>
      </x:c>
    </x:row>
    <x:row r="490" ht="24" customHeight="1">
      <x:c r="A490" s="11" t="str">
        <x:v>FM000489</x:v>
      </x:c>
      <x:c r="B490" s="12" t="str">
        <x:f>TRIM(CLEAN(SUBSTITUTE(A490,CHAR(160)," ")))</x:f>
        <x:v>FM000489</x:v>
      </x:c>
      <x:c r="C490" s="14" t="n">
        <x:f>IF(B490="","Thiếu mã",IFERROR(VLOOKUP(B490,'GiaCuoc'!$A$2:$B$501,2,FALSE),"Cần kiểm tra mã"))</x:f>
        <x:v>55000</x:v>
      </x:c>
      <x:c r="D490" s="2" t="str">
        <x:v>Vùng xa</x:v>
      </x:c>
      <x:c r="E490" s="10" t="d">
        <x:v>2026-10-27T17:00:00.000Z</x:v>
      </x:c>
      <x:c r="F490" s="10" t="d">
        <x:v>2026-10-27T19:00:00.000Z</x:v>
      </x:c>
      <x:c r="G490" s="2" t="str">
        <x:f>IF(F490&lt;=E490,"Đúng hẹn","Trễ hẹn")</x:f>
        <x:v>Trễ hẹn</x:v>
      </x:c>
    </x:row>
    <x:row r="491" ht="24" customHeight="1">
      <x:c r="A491" s="11" t="str">
        <x:v>FM000490</x:v>
      </x:c>
      <x:c r="B491" s="12" t="str">
        <x:f>TRIM(CLEAN(SUBSTITUTE(A491,CHAR(160)," ")))</x:f>
        <x:v>FM000490</x:v>
      </x:c>
      <x:c r="C491" s="14" t="n">
        <x:f>IF(B491="","Thiếu mã",IFERROR(VLOOKUP(B491,'GiaCuoc'!$A$2:$B$501,2,FALSE),"Cần kiểm tra mã"))</x:f>
        <x:v>55000</x:v>
      </x:c>
      <x:c r="D491" s="2" t="str">
        <x:v>Vùng xa</x:v>
      </x:c>
      <x:c r="E491" s="10" t="d">
        <x:v>2026-10-27T17:00:00.000Z</x:v>
      </x:c>
      <x:c r="F491" s="10" t="d">
        <x:v>2026-10-27T19:00:00.000Z</x:v>
      </x:c>
      <x:c r="G491" s="2" t="str">
        <x:f>IF(F491&lt;=E491,"Đúng hẹn","Trễ hẹn")</x:f>
        <x:v>Trễ hẹn</x:v>
      </x:c>
    </x:row>
    <x:row r="492" ht="24" customHeight="1">
      <x:c r="A492" s="11" t="str">
        <x:v>FM000491</x:v>
      </x:c>
      <x:c r="B492" s="12" t="str">
        <x:f>TRIM(CLEAN(SUBSTITUTE(A492,CHAR(160)," ")))</x:f>
        <x:v>FM000491</x:v>
      </x:c>
      <x:c r="C492" s="14" t="n">
        <x:f>IF(B492="","Thiếu mã",IFERROR(VLOOKUP(B492,'GiaCuoc'!$A$2:$B$501,2,FALSE),"Cần kiểm tra mã"))</x:f>
        <x:v>55000</x:v>
      </x:c>
      <x:c r="D492" s="2" t="str">
        <x:v>Vùng xa</x:v>
      </x:c>
      <x:c r="E492" s="10" t="d">
        <x:v>2026-10-27T17:00:00.000Z</x:v>
      </x:c>
      <x:c r="F492" s="10" t="d">
        <x:v>2026-10-27T19:00:00.000Z</x:v>
      </x:c>
      <x:c r="G492" s="2" t="str">
        <x:f>IF(F492&lt;=E492,"Đúng hẹn","Trễ hẹn")</x:f>
        <x:v>Trễ hẹn</x:v>
      </x:c>
    </x:row>
    <x:row r="493" ht="24" customHeight="1">
      <x:c r="A493" s="11" t="str">
        <x:v>FM000492</x:v>
      </x:c>
      <x:c r="B493" s="12" t="str">
        <x:f>TRIM(CLEAN(SUBSTITUTE(A493,CHAR(160)," ")))</x:f>
        <x:v>FM000492</x:v>
      </x:c>
      <x:c r="C493" s="14" t="n">
        <x:f>IF(B493="","Thiếu mã",IFERROR(VLOOKUP(B493,'GiaCuoc'!$A$2:$B$501,2,FALSE),"Cần kiểm tra mã"))</x:f>
        <x:v>55000</x:v>
      </x:c>
      <x:c r="D493" s="2" t="str">
        <x:v>Vùng xa</x:v>
      </x:c>
      <x:c r="E493" s="10" t="d">
        <x:v>2026-10-27T17:00:00.000Z</x:v>
      </x:c>
      <x:c r="F493" s="10" t="d">
        <x:v>2026-10-27T19:00:00.000Z</x:v>
      </x:c>
      <x:c r="G493" s="2" t="str">
        <x:f>IF(F493&lt;=E493,"Đúng hẹn","Trễ hẹn")</x:f>
        <x:v>Trễ hẹn</x:v>
      </x:c>
    </x:row>
    <x:row r="494" ht="24" customHeight="1">
      <x:c r="A494" s="11" t="str">
        <x:v>FM000493</x:v>
      </x:c>
      <x:c r="B494" s="12" t="str">
        <x:f>TRIM(CLEAN(SUBSTITUTE(A494,CHAR(160)," ")))</x:f>
        <x:v>FM000493</x:v>
      </x:c>
      <x:c r="C494" s="14" t="n">
        <x:f>IF(B494="","Thiếu mã",IFERROR(VLOOKUP(B494,'GiaCuoc'!$A$2:$B$501,2,FALSE),"Cần kiểm tra mã"))</x:f>
        <x:v>55000</x:v>
      </x:c>
      <x:c r="D494" s="2" t="str">
        <x:v>Vùng xa</x:v>
      </x:c>
      <x:c r="E494" s="10" t="d">
        <x:v>2026-10-27T17:00:00.000Z</x:v>
      </x:c>
      <x:c r="F494" s="10" t="d">
        <x:v>2026-10-27T19:00:00.000Z</x:v>
      </x:c>
      <x:c r="G494" s="2" t="str">
        <x:f>IF(F494&lt;=E494,"Đúng hẹn","Trễ hẹn")</x:f>
        <x:v>Trễ hẹn</x:v>
      </x:c>
    </x:row>
    <x:row r="495" ht="24" customHeight="1">
      <x:c r="A495" s="11" t="str">
        <x:v>FM000494</x:v>
      </x:c>
      <x:c r="B495" s="12" t="str">
        <x:f>TRIM(CLEAN(SUBSTITUTE(A495,CHAR(160)," ")))</x:f>
        <x:v>FM000494</x:v>
      </x:c>
      <x:c r="C495" s="14" t="n">
        <x:f>IF(B495="","Thiếu mã",IFERROR(VLOOKUP(B495,'GiaCuoc'!$A$2:$B$501,2,FALSE),"Cần kiểm tra mã"))</x:f>
        <x:v>55000</x:v>
      </x:c>
      <x:c r="D495" s="2" t="str">
        <x:v>Vùng xa</x:v>
      </x:c>
      <x:c r="E495" s="10" t="d">
        <x:v>2026-10-27T17:00:00.000Z</x:v>
      </x:c>
      <x:c r="F495" s="10" t="d">
        <x:v>2026-10-27T19:00:00.000Z</x:v>
      </x:c>
      <x:c r="G495" s="2" t="str">
        <x:f>IF(F495&lt;=E495,"Đúng hẹn","Trễ hẹn")</x:f>
        <x:v>Trễ hẹn</x:v>
      </x:c>
    </x:row>
    <x:row r="496" ht="24" customHeight="1">
      <x:c r="A496" s="11" t="str">
        <x:v>FM000495</x:v>
      </x:c>
      <x:c r="B496" s="12" t="str">
        <x:f>TRIM(CLEAN(SUBSTITUTE(A496,CHAR(160)," ")))</x:f>
        <x:v>FM000495</x:v>
      </x:c>
      <x:c r="C496" s="14" t="n">
        <x:f>IF(B496="","Thiếu mã",IFERROR(VLOOKUP(B496,'GiaCuoc'!$A$2:$B$501,2,FALSE),"Cần kiểm tra mã"))</x:f>
        <x:v>55000</x:v>
      </x:c>
      <x:c r="D496" s="2" t="str">
        <x:v>Vùng xa</x:v>
      </x:c>
      <x:c r="E496" s="10" t="d">
        <x:v>2026-10-27T17:00:00.000Z</x:v>
      </x:c>
      <x:c r="F496" s="10" t="d">
        <x:v>2026-10-27T19:00:00.000Z</x:v>
      </x:c>
      <x:c r="G496" s="2" t="str">
        <x:f>IF(F496&lt;=E496,"Đúng hẹn","Trễ hẹn")</x:f>
        <x:v>Trễ hẹn</x:v>
      </x:c>
    </x:row>
    <x:row r="497" ht="24" customHeight="1">
      <x:c r="A497" s="11" t="str">
        <x:v>FM000496</x:v>
      </x:c>
      <x:c r="B497" s="12" t="str">
        <x:f>TRIM(CLEAN(SUBSTITUTE(A497,CHAR(160)," ")))</x:f>
        <x:v>FM000496</x:v>
      </x:c>
      <x:c r="C497" s="14" t="n">
        <x:f>IF(B497="","Thiếu mã",IFERROR(VLOOKUP(B497,'GiaCuoc'!$A$2:$B$501,2,FALSE),"Cần kiểm tra mã"))</x:f>
        <x:v>55000</x:v>
      </x:c>
      <x:c r="D497" s="2" t="str">
        <x:v>Vùng xa</x:v>
      </x:c>
      <x:c r="E497" s="10" t="d">
        <x:v>2026-10-27T17:00:00.000Z</x:v>
      </x:c>
      <x:c r="F497" s="10" t="d">
        <x:v>2026-10-27T19:00:00.000Z</x:v>
      </x:c>
      <x:c r="G497" s="2" t="str">
        <x:f>IF(F497&lt;=E497,"Đúng hẹn","Trễ hẹn")</x:f>
        <x:v>Trễ hẹn</x:v>
      </x:c>
    </x:row>
    <x:row r="498" ht="24" customHeight="1">
      <x:c r="A498" s="11" t="str">
        <x:v>FM000497</x:v>
      </x:c>
      <x:c r="B498" s="12" t="str">
        <x:f>TRIM(CLEAN(SUBSTITUTE(A498,CHAR(160)," ")))</x:f>
        <x:v>FM000497</x:v>
      </x:c>
      <x:c r="C498" s="14" t="n">
        <x:f>IF(B498="","Thiếu mã",IFERROR(VLOOKUP(B498,'GiaCuoc'!$A$2:$B$501,2,FALSE),"Cần kiểm tra mã"))</x:f>
        <x:v>55000</x:v>
      </x:c>
      <x:c r="D498" s="2" t="str">
        <x:v>Vùng xa</x:v>
      </x:c>
      <x:c r="E498" s="10" t="d">
        <x:v>2026-10-27T17:00:00.000Z</x:v>
      </x:c>
      <x:c r="F498" s="10" t="d">
        <x:v>2026-10-27T19:00:00.000Z</x:v>
      </x:c>
      <x:c r="G498" s="2" t="str">
        <x:f>IF(F498&lt;=E498,"Đúng hẹn","Trễ hẹn")</x:f>
        <x:v>Trễ hẹn</x:v>
      </x:c>
    </x:row>
    <x:row r="499" ht="24" customHeight="1">
      <x:c r="A499" s="11" t="str">
        <x:v>FM000498</x:v>
      </x:c>
      <x:c r="B499" s="12" t="str">
        <x:f>TRIM(CLEAN(SUBSTITUTE(A499,CHAR(160)," ")))</x:f>
        <x:v>FM000498</x:v>
      </x:c>
      <x:c r="C499" s="14" t="n">
        <x:f>IF(B499="","Thiếu mã",IFERROR(VLOOKUP(B499,'GiaCuoc'!$A$2:$B$501,2,FALSE),"Cần kiểm tra mã"))</x:f>
        <x:v>55000</x:v>
      </x:c>
      <x:c r="D499" s="2" t="str">
        <x:v>Vùng xa</x:v>
      </x:c>
      <x:c r="E499" s="10" t="d">
        <x:v>2026-10-27T17:00:00.000Z</x:v>
      </x:c>
      <x:c r="F499" s="10" t="d">
        <x:v>2026-10-27T19:00:00.000Z</x:v>
      </x:c>
      <x:c r="G499" s="2" t="str">
        <x:f>IF(F499&lt;=E499,"Đúng hẹn","Trễ hẹn")</x:f>
        <x:v>Trễ hẹn</x:v>
      </x:c>
    </x:row>
    <x:row r="500" ht="24" customHeight="1">
      <x:c r="A500" s="11" t="str">
        <x:v>FM000499</x:v>
      </x:c>
      <x:c r="B500" s="12" t="str">
        <x:f>TRIM(CLEAN(SUBSTITUTE(A500,CHAR(160)," ")))</x:f>
        <x:v>FM000499</x:v>
      </x:c>
      <x:c r="C500" s="14" t="n">
        <x:f>IF(B500="","Thiếu mã",IFERROR(VLOOKUP(B500,'GiaCuoc'!$A$2:$B$501,2,FALSE),"Cần kiểm tra mã"))</x:f>
        <x:v>55000</x:v>
      </x:c>
      <x:c r="D500" s="2" t="str">
        <x:v>Vùng xa</x:v>
      </x:c>
      <x:c r="E500" s="10" t="d">
        <x:v>2026-10-27T17:00:00.000Z</x:v>
      </x:c>
      <x:c r="F500" s="10" t="d">
        <x:v>2026-10-27T19:00:00.000Z</x:v>
      </x:c>
      <x:c r="G500" s="2" t="str">
        <x:f>IF(F500&lt;=E500,"Đúng hẹn","Trễ hẹn")</x:f>
        <x:v>Trễ hẹn</x:v>
      </x:c>
    </x:row>
    <x:row r="501" ht="24" customHeight="1">
      <x:c r="A501" s="11" t="str">
        <x:v>FM999999</x:v>
      </x:c>
      <x:c r="B501" s="12" t="str">
        <x:f>TRIM(CLEAN(SUBSTITUTE(A501,CHAR(160)," ")))</x:f>
        <x:v>FM999999</x:v>
      </x:c>
      <x:c r="C501" s="14" t="str">
        <x:f>IF(B501="","Thiếu mã",IFERROR(VLOOKUP(B501,'GiaCuoc'!$A$2:$B$501,2,FALSE),"Cần kiểm tra mã"))</x:f>
        <x:v>Cần kiểm tra mã</x:v>
      </x:c>
      <x:c r="D501" s="2" t="str">
        <x:v>Vùng xa</x:v>
      </x:c>
      <x:c r="E501" s="10" t="d">
        <x:v>2026-10-27T17:00:00.000Z</x:v>
      </x:c>
      <x:c r="F501" s="10" t="d">
        <x:v>2026-10-27T19:00:00.000Z</x:v>
      </x:c>
      <x:c r="G501" s="2" t="str">
        <x:f>IF(F501&lt;=E501,"Đúng hẹn","Trễ hẹn")</x:f>
        <x:v>Trễ hẹn</x:v>
      </x:c>
    </x:row>
  </x:sheetData>
  <x:conditionalFormatting sqref="C2:C501">
    <x:cfRule type="containsText" dxfId="0" priority="1" operator="containsText" text="Cần kiểm tra mã"/>
  </x:conditionalFormatting>
  <x:pageMargins left="0.7" right="0.7" top="0.75" bottom="0.75" header="0.3" footer="0.3"/>
  <x:tableParts count="1">
    <x:tablePart xmlns:r="http://schemas.openxmlformats.org/officeDocument/2006/relationships" r:id="R3f79c13c7113476f"/>
  </x:tableParts>
</x:worksheet>
</file>

<file path=xl/worksheets/sheet3.xml><?xml version="1.0" encoding="utf-8"?>
<x:worksheet xmlns:x="http://schemas.openxmlformats.org/spreadsheetml/2006/main">
  <x:sheetPr>
    <x:tabColor rgb="FF123D6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20" hidden="0" customWidth="1"/>
    <x:col min="5" max="5" width="68" hidden="0" customWidth="1"/>
  </x:cols>
  <x:sheetData>
    <x:row r="1" ht="34" customHeight="1">
      <x:c r="A1" s="5" t="str">
        <x:v>Mã vận đơn</x:v>
      </x:c>
      <x:c r="B1" s="5" t="str">
        <x:v>Giá cước VND</x:v>
      </x:c>
      <x:c r="C1" s="5" t="str">
        <x:v>Tuyến</x:v>
      </x:c>
      <x:c r="E1" s="7" t="str">
        <x:v>DỮ LIỆU MINH HỌA</x:v>
      </x:c>
    </x:row>
    <x:row r="2" ht="24" customHeight="1">
      <x:c r="A2" s="2" t="str">
        <x:v>FM000001</x:v>
      </x:c>
      <x:c r="B2" s="15" t="n">
        <x:v>20000</x:v>
      </x:c>
      <x:c r="C2" s="2" t="str">
        <x:v>Nội thành</x:v>
      </x:c>
      <x:c r="E2" s="6" t="str">
        <x:v>Giá theo từng mã vận đơn, không phải biểu phí chính thức.</x:v>
      </x:c>
    </x:row>
    <x:row r="3" ht="24" customHeight="1">
      <x:c r="A3" s="2" t="str">
        <x:v>FM000002</x:v>
      </x:c>
      <x:c r="B3" s="15" t="n">
        <x:v>20000</x:v>
      </x:c>
      <x:c r="C3" s="2" t="str">
        <x:v>Nội thành</x:v>
      </x:c>
      <x:c r="E3" s="6"/>
    </x:row>
    <x:row r="4" ht="24" customHeight="1">
      <x:c r="A4" s="2" t="str">
        <x:v>FM000003</x:v>
      </x:c>
      <x:c r="B4" s="15" t="n">
        <x:v>20000</x:v>
      </x:c>
      <x:c r="C4" s="2" t="str">
        <x:v>Nội thành</x:v>
      </x:c>
      <x:c r="E4" s="6" t="str">
        <x:v>Mỗi mã chỉ xuất hiện một lần. Giá là số, đơn vị VND.</x:v>
      </x:c>
    </x:row>
    <x:row r="5" ht="24" customHeight="1">
      <x:c r="A5" s="2" t="str">
        <x:v>FM000004</x:v>
      </x:c>
      <x:c r="B5" s="15" t="n">
        <x:v>20000</x:v>
      </x:c>
      <x:c r="C5" s="2" t="str">
        <x:v>Nội thành</x:v>
      </x:c>
      <x:c r="E5" s="6"/>
    </x:row>
    <x:row r="6" ht="24" customHeight="1">
      <x:c r="A6" s="2" t="str">
        <x:v>FM000005</x:v>
      </x:c>
      <x:c r="B6" s="15" t="n">
        <x:v>20000</x:v>
      </x:c>
      <x:c r="C6" s="2" t="str">
        <x:v>Nội thành</x:v>
      </x:c>
      <x:c r="E6" s="6" t="str">
        <x:v>Thêm mã mới: mở rộng vùng tra trong VanDon và KiemThu.</x:v>
      </x:c>
    </x:row>
    <x:row r="7" ht="24" customHeight="1">
      <x:c r="A7" s="2" t="str">
        <x:v>FM000006</x:v>
      </x:c>
      <x:c r="B7" s="15" t="n">
        <x:v>20000</x:v>
      </x:c>
      <x:c r="C7" s="2" t="str">
        <x:v>Nội thành</x:v>
      </x:c>
      <x:c r="E7" s="6"/>
    </x:row>
    <x:row r="8" ht="24" customHeight="1">
      <x:c r="A8" s="2" t="str">
        <x:v>FM000007</x:v>
      </x:c>
      <x:c r="B8" s="15" t="n">
        <x:v>20000</x:v>
      </x:c>
      <x:c r="C8" s="2" t="str">
        <x:v>Nội thành</x:v>
      </x:c>
    </x:row>
    <x:row r="9" ht="24" customHeight="1">
      <x:c r="A9" s="2" t="str">
        <x:v>FM000008</x:v>
      </x:c>
      <x:c r="B9" s="15" t="n">
        <x:v>20000</x:v>
      </x:c>
      <x:c r="C9" s="2" t="str">
        <x:v>Nội thành</x:v>
      </x:c>
    </x:row>
    <x:row r="10" ht="24" customHeight="1">
      <x:c r="A10" s="2" t="str">
        <x:v>FM000009</x:v>
      </x:c>
      <x:c r="B10" s="15" t="n">
        <x:v>20000</x:v>
      </x:c>
      <x:c r="C10" s="2" t="str">
        <x:v>Nội thành</x:v>
      </x:c>
    </x:row>
    <x:row r="11" ht="24" customHeight="1">
      <x:c r="A11" s="2" t="str">
        <x:v>FM000010</x:v>
      </x:c>
      <x:c r="B11" s="15" t="n">
        <x:v>20000</x:v>
      </x:c>
      <x:c r="C11" s="2" t="str">
        <x:v>Nội thành</x:v>
      </x:c>
    </x:row>
    <x:row r="12" ht="24" customHeight="1">
      <x:c r="A12" s="2" t="str">
        <x:v>FM000011</x:v>
      </x:c>
      <x:c r="B12" s="15" t="n">
        <x:v>20000</x:v>
      </x:c>
      <x:c r="C12" s="2" t="str">
        <x:v>Nội thành</x:v>
      </x:c>
    </x:row>
    <x:row r="13" ht="24" customHeight="1">
      <x:c r="A13" s="2" t="str">
        <x:v>FM000012</x:v>
      </x:c>
      <x:c r="B13" s="15" t="n">
        <x:v>20000</x:v>
      </x:c>
      <x:c r="C13" s="2" t="str">
        <x:v>Nội thành</x:v>
      </x:c>
    </x:row>
    <x:row r="14" ht="24" customHeight="1">
      <x:c r="A14" s="2" t="str">
        <x:v>FM000013</x:v>
      </x:c>
      <x:c r="B14" s="15" t="n">
        <x:v>20000</x:v>
      </x:c>
      <x:c r="C14" s="2" t="str">
        <x:v>Nội thành</x:v>
      </x:c>
    </x:row>
    <x:row r="15" ht="24" customHeight="1">
      <x:c r="A15" s="2" t="str">
        <x:v>FM000014</x:v>
      </x:c>
      <x:c r="B15" s="15" t="n">
        <x:v>20000</x:v>
      </x:c>
      <x:c r="C15" s="2" t="str">
        <x:v>Nội thành</x:v>
      </x:c>
    </x:row>
    <x:row r="16" ht="24" customHeight="1">
      <x:c r="A16" s="2" t="str">
        <x:v>FM000015</x:v>
      </x:c>
      <x:c r="B16" s="15" t="n">
        <x:v>20000</x:v>
      </x:c>
      <x:c r="C16" s="2" t="str">
        <x:v>Nội thành</x:v>
      </x:c>
    </x:row>
    <x:row r="17" ht="24" customHeight="1">
      <x:c r="A17" s="2" t="str">
        <x:v>FM000016</x:v>
      </x:c>
      <x:c r="B17" s="15" t="n">
        <x:v>20000</x:v>
      </x:c>
      <x:c r="C17" s="2" t="str">
        <x:v>Nội thành</x:v>
      </x:c>
    </x:row>
    <x:row r="18" ht="24" customHeight="1">
      <x:c r="A18" s="2" t="str">
        <x:v>FM000017</x:v>
      </x:c>
      <x:c r="B18" s="15" t="n">
        <x:v>20000</x:v>
      </x:c>
      <x:c r="C18" s="2" t="str">
        <x:v>Nội thành</x:v>
      </x:c>
    </x:row>
    <x:row r="19" ht="24" customHeight="1">
      <x:c r="A19" s="2" t="str">
        <x:v>FM000018</x:v>
      </x:c>
      <x:c r="B19" s="15" t="n">
        <x:v>20000</x:v>
      </x:c>
      <x:c r="C19" s="2" t="str">
        <x:v>Nội thành</x:v>
      </x:c>
    </x:row>
    <x:row r="20" ht="24" customHeight="1">
      <x:c r="A20" s="2" t="str">
        <x:v>FM000019</x:v>
      </x:c>
      <x:c r="B20" s="15" t="n">
        <x:v>20000</x:v>
      </x:c>
      <x:c r="C20" s="2" t="str">
        <x:v>Nội thành</x:v>
      </x:c>
    </x:row>
    <x:row r="21" ht="24" customHeight="1">
      <x:c r="A21" s="2" t="str">
        <x:v>FM000020</x:v>
      </x:c>
      <x:c r="B21" s="15" t="n">
        <x:v>20000</x:v>
      </x:c>
      <x:c r="C21" s="2" t="str">
        <x:v>Nội thành</x:v>
      </x:c>
    </x:row>
    <x:row r="22" ht="24" customHeight="1">
      <x:c r="A22" s="2" t="str">
        <x:v>FM000021</x:v>
      </x:c>
      <x:c r="B22" s="15" t="n">
        <x:v>20000</x:v>
      </x:c>
      <x:c r="C22" s="2" t="str">
        <x:v>Nội thành</x:v>
      </x:c>
    </x:row>
    <x:row r="23" ht="24" customHeight="1">
      <x:c r="A23" s="2" t="str">
        <x:v>FM000022</x:v>
      </x:c>
      <x:c r="B23" s="15" t="n">
        <x:v>20000</x:v>
      </x:c>
      <x:c r="C23" s="2" t="str">
        <x:v>Nội thành</x:v>
      </x:c>
    </x:row>
    <x:row r="24" ht="24" customHeight="1">
      <x:c r="A24" s="2" t="str">
        <x:v>FM000023</x:v>
      </x:c>
      <x:c r="B24" s="15" t="n">
        <x:v>20000</x:v>
      </x:c>
      <x:c r="C24" s="2" t="str">
        <x:v>Nội thành</x:v>
      </x:c>
    </x:row>
    <x:row r="25" ht="24" customHeight="1">
      <x:c r="A25" s="2" t="str">
        <x:v>FM000024</x:v>
      </x:c>
      <x:c r="B25" s="15" t="n">
        <x:v>20000</x:v>
      </x:c>
      <x:c r="C25" s="2" t="str">
        <x:v>Nội thành</x:v>
      </x:c>
    </x:row>
    <x:row r="26" ht="24" customHeight="1">
      <x:c r="A26" s="2" t="str">
        <x:v>FM000025</x:v>
      </x:c>
      <x:c r="B26" s="15" t="n">
        <x:v>20000</x:v>
      </x:c>
      <x:c r="C26" s="2" t="str">
        <x:v>Nội thành</x:v>
      </x:c>
    </x:row>
    <x:row r="27" ht="24" customHeight="1">
      <x:c r="A27" s="2" t="str">
        <x:v>FM000026</x:v>
      </x:c>
      <x:c r="B27" s="15" t="n">
        <x:v>20000</x:v>
      </x:c>
      <x:c r="C27" s="2" t="str">
        <x:v>Nội thành</x:v>
      </x:c>
    </x:row>
    <x:row r="28" ht="24" customHeight="1">
      <x:c r="A28" s="2" t="str">
        <x:v>FM000027</x:v>
      </x:c>
      <x:c r="B28" s="15" t="n">
        <x:v>20000</x:v>
      </x:c>
      <x:c r="C28" s="2" t="str">
        <x:v>Nội thành</x:v>
      </x:c>
    </x:row>
    <x:row r="29" ht="24" customHeight="1">
      <x:c r="A29" s="2" t="str">
        <x:v>FM000028</x:v>
      </x:c>
      <x:c r="B29" s="15" t="n">
        <x:v>20000</x:v>
      </x:c>
      <x:c r="C29" s="2" t="str">
        <x:v>Nội thành</x:v>
      </x:c>
    </x:row>
    <x:row r="30" ht="24" customHeight="1">
      <x:c r="A30" s="2" t="str">
        <x:v>FM000029</x:v>
      </x:c>
      <x:c r="B30" s="15" t="n">
        <x:v>20000</x:v>
      </x:c>
      <x:c r="C30" s="2" t="str">
        <x:v>Nội thành</x:v>
      </x:c>
    </x:row>
    <x:row r="31" ht="24" customHeight="1">
      <x:c r="A31" s="2" t="str">
        <x:v>FM000030</x:v>
      </x:c>
      <x:c r="B31" s="15" t="n">
        <x:v>20000</x:v>
      </x:c>
      <x:c r="C31" s="2" t="str">
        <x:v>Nội thành</x:v>
      </x:c>
    </x:row>
    <x:row r="32" ht="24" customHeight="1">
      <x:c r="A32" s="2" t="str">
        <x:v>FM000031</x:v>
      </x:c>
      <x:c r="B32" s="15" t="n">
        <x:v>20000</x:v>
      </x:c>
      <x:c r="C32" s="2" t="str">
        <x:v>Nội thành</x:v>
      </x:c>
    </x:row>
    <x:row r="33" ht="24" customHeight="1">
      <x:c r="A33" s="2" t="str">
        <x:v>FM000032</x:v>
      </x:c>
      <x:c r="B33" s="15" t="n">
        <x:v>20000</x:v>
      </x:c>
      <x:c r="C33" s="2" t="str">
        <x:v>Nội thành</x:v>
      </x:c>
    </x:row>
    <x:row r="34" ht="24" customHeight="1">
      <x:c r="A34" s="2" t="str">
        <x:v>FM000033</x:v>
      </x:c>
      <x:c r="B34" s="15" t="n">
        <x:v>20000</x:v>
      </x:c>
      <x:c r="C34" s="2" t="str">
        <x:v>Nội thành</x:v>
      </x:c>
    </x:row>
    <x:row r="35" ht="24" customHeight="1">
      <x:c r="A35" s="2" t="str">
        <x:v>FM000034</x:v>
      </x:c>
      <x:c r="B35" s="15" t="n">
        <x:v>20000</x:v>
      </x:c>
      <x:c r="C35" s="2" t="str">
        <x:v>Nội thành</x:v>
      </x:c>
    </x:row>
    <x:row r="36" ht="24" customHeight="1">
      <x:c r="A36" s="2" t="str">
        <x:v>FM000035</x:v>
      </x:c>
      <x:c r="B36" s="15" t="n">
        <x:v>20000</x:v>
      </x:c>
      <x:c r="C36" s="2" t="str">
        <x:v>Nội thành</x:v>
      </x:c>
    </x:row>
    <x:row r="37" ht="24" customHeight="1">
      <x:c r="A37" s="2" t="str">
        <x:v>FM000036</x:v>
      </x:c>
      <x:c r="B37" s="15" t="n">
        <x:v>20000</x:v>
      </x:c>
      <x:c r="C37" s="2" t="str">
        <x:v>Nội thành</x:v>
      </x:c>
    </x:row>
    <x:row r="38" ht="24" customHeight="1">
      <x:c r="A38" s="2" t="str">
        <x:v>FM000037</x:v>
      </x:c>
      <x:c r="B38" s="15" t="n">
        <x:v>20000</x:v>
      </x:c>
      <x:c r="C38" s="2" t="str">
        <x:v>Nội thành</x:v>
      </x:c>
    </x:row>
    <x:row r="39" ht="24" customHeight="1">
      <x:c r="A39" s="2" t="str">
        <x:v>FM000038</x:v>
      </x:c>
      <x:c r="B39" s="15" t="n">
        <x:v>20000</x:v>
      </x:c>
      <x:c r="C39" s="2" t="str">
        <x:v>Nội thành</x:v>
      </x:c>
    </x:row>
    <x:row r="40" ht="24" customHeight="1">
      <x:c r="A40" s="2" t="str">
        <x:v>FM000039</x:v>
      </x:c>
      <x:c r="B40" s="15" t="n">
        <x:v>20000</x:v>
      </x:c>
      <x:c r="C40" s="2" t="str">
        <x:v>Nội thành</x:v>
      </x:c>
    </x:row>
    <x:row r="41" ht="24" customHeight="1">
      <x:c r="A41" s="2" t="str">
        <x:v>FM000040</x:v>
      </x:c>
      <x:c r="B41" s="15" t="n">
        <x:v>20000</x:v>
      </x:c>
      <x:c r="C41" s="2" t="str">
        <x:v>Nội thành</x:v>
      </x:c>
    </x:row>
    <x:row r="42" ht="24" customHeight="1">
      <x:c r="A42" s="2" t="str">
        <x:v>FM000041</x:v>
      </x:c>
      <x:c r="B42" s="15" t="n">
        <x:v>20000</x:v>
      </x:c>
      <x:c r="C42" s="2" t="str">
        <x:v>Nội thành</x:v>
      </x:c>
    </x:row>
    <x:row r="43" ht="24" customHeight="1">
      <x:c r="A43" s="2" t="str">
        <x:v>FM000042</x:v>
      </x:c>
      <x:c r="B43" s="15" t="n">
        <x:v>20000</x:v>
      </x:c>
      <x:c r="C43" s="2" t="str">
        <x:v>Nội thành</x:v>
      </x:c>
    </x:row>
    <x:row r="44" ht="24" customHeight="1">
      <x:c r="A44" s="2" t="str">
        <x:v>FM000043</x:v>
      </x:c>
      <x:c r="B44" s="15" t="n">
        <x:v>20000</x:v>
      </x:c>
      <x:c r="C44" s="2" t="str">
        <x:v>Nội thành</x:v>
      </x:c>
    </x:row>
    <x:row r="45" ht="24" customHeight="1">
      <x:c r="A45" s="2" t="str">
        <x:v>FM000044</x:v>
      </x:c>
      <x:c r="B45" s="15" t="n">
        <x:v>20000</x:v>
      </x:c>
      <x:c r="C45" s="2" t="str">
        <x:v>Nội thành</x:v>
      </x:c>
    </x:row>
    <x:row r="46" ht="24" customHeight="1">
      <x:c r="A46" s="2" t="str">
        <x:v>FM000045</x:v>
      </x:c>
      <x:c r="B46" s="15" t="n">
        <x:v>20000</x:v>
      </x:c>
      <x:c r="C46" s="2" t="str">
        <x:v>Nội thành</x:v>
      </x:c>
    </x:row>
    <x:row r="47" ht="24" customHeight="1">
      <x:c r="A47" s="2" t="str">
        <x:v>FM000046</x:v>
      </x:c>
      <x:c r="B47" s="15" t="n">
        <x:v>20000</x:v>
      </x:c>
      <x:c r="C47" s="2" t="str">
        <x:v>Nội thành</x:v>
      </x:c>
    </x:row>
    <x:row r="48" ht="24" customHeight="1">
      <x:c r="A48" s="2" t="str">
        <x:v>FM000047</x:v>
      </x:c>
      <x:c r="B48" s="15" t="n">
        <x:v>20000</x:v>
      </x:c>
      <x:c r="C48" s="2" t="str">
        <x:v>Nội thành</x:v>
      </x:c>
    </x:row>
    <x:row r="49" ht="24" customHeight="1">
      <x:c r="A49" s="2" t="str">
        <x:v>FM000048</x:v>
      </x:c>
      <x:c r="B49" s="15" t="n">
        <x:v>20000</x:v>
      </x:c>
      <x:c r="C49" s="2" t="str">
        <x:v>Nội thành</x:v>
      </x:c>
    </x:row>
    <x:row r="50" ht="24" customHeight="1">
      <x:c r="A50" s="2" t="str">
        <x:v>FM000049</x:v>
      </x:c>
      <x:c r="B50" s="15" t="n">
        <x:v>20000</x:v>
      </x:c>
      <x:c r="C50" s="2" t="str">
        <x:v>Nội thành</x:v>
      </x:c>
    </x:row>
    <x:row r="51" ht="24" customHeight="1">
      <x:c r="A51" s="2" t="str">
        <x:v>FM000050</x:v>
      </x:c>
      <x:c r="B51" s="15" t="n">
        <x:v>20000</x:v>
      </x:c>
      <x:c r="C51" s="2" t="str">
        <x:v>Nội thành</x:v>
      </x:c>
    </x:row>
    <x:row r="52" ht="24" customHeight="1">
      <x:c r="A52" s="2" t="str">
        <x:v>FM000051</x:v>
      </x:c>
      <x:c r="B52" s="15" t="n">
        <x:v>20000</x:v>
      </x:c>
      <x:c r="C52" s="2" t="str">
        <x:v>Nội thành</x:v>
      </x:c>
    </x:row>
    <x:row r="53" ht="24" customHeight="1">
      <x:c r="A53" s="2" t="str">
        <x:v>FM000052</x:v>
      </x:c>
      <x:c r="B53" s="15" t="n">
        <x:v>20000</x:v>
      </x:c>
      <x:c r="C53" s="2" t="str">
        <x:v>Nội thành</x:v>
      </x:c>
    </x:row>
    <x:row r="54" ht="24" customHeight="1">
      <x:c r="A54" s="2" t="str">
        <x:v>FM000053</x:v>
      </x:c>
      <x:c r="B54" s="15" t="n">
        <x:v>20000</x:v>
      </x:c>
      <x:c r="C54" s="2" t="str">
        <x:v>Nội thành</x:v>
      </x:c>
    </x:row>
    <x:row r="55" ht="24" customHeight="1">
      <x:c r="A55" s="2" t="str">
        <x:v>FM000054</x:v>
      </x:c>
      <x:c r="B55" s="15" t="n">
        <x:v>20000</x:v>
      </x:c>
      <x:c r="C55" s="2" t="str">
        <x:v>Nội thành</x:v>
      </x:c>
    </x:row>
    <x:row r="56" ht="24" customHeight="1">
      <x:c r="A56" s="2" t="str">
        <x:v>FM000055</x:v>
      </x:c>
      <x:c r="B56" s="15" t="n">
        <x:v>20000</x:v>
      </x:c>
      <x:c r="C56" s="2" t="str">
        <x:v>Nội thành</x:v>
      </x:c>
    </x:row>
    <x:row r="57" ht="24" customHeight="1">
      <x:c r="A57" s="2" t="str">
        <x:v>FM000056</x:v>
      </x:c>
      <x:c r="B57" s="15" t="n">
        <x:v>20000</x:v>
      </x:c>
      <x:c r="C57" s="2" t="str">
        <x:v>Nội thành</x:v>
      </x:c>
    </x:row>
    <x:row r="58" ht="24" customHeight="1">
      <x:c r="A58" s="2" t="str">
        <x:v>FM000057</x:v>
      </x:c>
      <x:c r="B58" s="15" t="n">
        <x:v>20000</x:v>
      </x:c>
      <x:c r="C58" s="2" t="str">
        <x:v>Nội thành</x:v>
      </x:c>
    </x:row>
    <x:row r="59" ht="24" customHeight="1">
      <x:c r="A59" s="2" t="str">
        <x:v>FM000058</x:v>
      </x:c>
      <x:c r="B59" s="15" t="n">
        <x:v>20000</x:v>
      </x:c>
      <x:c r="C59" s="2" t="str">
        <x:v>Nội thành</x:v>
      </x:c>
    </x:row>
    <x:row r="60" ht="24" customHeight="1">
      <x:c r="A60" s="2" t="str">
        <x:v>FM000059</x:v>
      </x:c>
      <x:c r="B60" s="15" t="n">
        <x:v>20000</x:v>
      </x:c>
      <x:c r="C60" s="2" t="str">
        <x:v>Nội thành</x:v>
      </x:c>
    </x:row>
    <x:row r="61" ht="24" customHeight="1">
      <x:c r="A61" s="2" t="str">
        <x:v>FM000060</x:v>
      </x:c>
      <x:c r="B61" s="15" t="n">
        <x:v>20000</x:v>
      </x:c>
      <x:c r="C61" s="2" t="str">
        <x:v>Nội thành</x:v>
      </x:c>
    </x:row>
    <x:row r="62" ht="24" customHeight="1">
      <x:c r="A62" s="2" t="str">
        <x:v>FM000061</x:v>
      </x:c>
      <x:c r="B62" s="15" t="n">
        <x:v>20000</x:v>
      </x:c>
      <x:c r="C62" s="2" t="str">
        <x:v>Nội thành</x:v>
      </x:c>
    </x:row>
    <x:row r="63" ht="24" customHeight="1">
      <x:c r="A63" s="2" t="str">
        <x:v>FM000062</x:v>
      </x:c>
      <x:c r="B63" s="15" t="n">
        <x:v>20000</x:v>
      </x:c>
      <x:c r="C63" s="2" t="str">
        <x:v>Nội thành</x:v>
      </x:c>
    </x:row>
    <x:row r="64" ht="24" customHeight="1">
      <x:c r="A64" s="2" t="str">
        <x:v>FM000063</x:v>
      </x:c>
      <x:c r="B64" s="15" t="n">
        <x:v>20000</x:v>
      </x:c>
      <x:c r="C64" s="2" t="str">
        <x:v>Nội thành</x:v>
      </x:c>
    </x:row>
    <x:row r="65" ht="24" customHeight="1">
      <x:c r="A65" s="2" t="str">
        <x:v>FM000064</x:v>
      </x:c>
      <x:c r="B65" s="15" t="n">
        <x:v>20000</x:v>
      </x:c>
      <x:c r="C65" s="2" t="str">
        <x:v>Nội thành</x:v>
      </x:c>
    </x:row>
    <x:row r="66" ht="24" customHeight="1">
      <x:c r="A66" s="2" t="str">
        <x:v>FM000065</x:v>
      </x:c>
      <x:c r="B66" s="15" t="n">
        <x:v>20000</x:v>
      </x:c>
      <x:c r="C66" s="2" t="str">
        <x:v>Nội thành</x:v>
      </x:c>
    </x:row>
    <x:row r="67" ht="24" customHeight="1">
      <x:c r="A67" s="2" t="str">
        <x:v>FM000066</x:v>
      </x:c>
      <x:c r="B67" s="15" t="n">
        <x:v>20000</x:v>
      </x:c>
      <x:c r="C67" s="2" t="str">
        <x:v>Nội thành</x:v>
      </x:c>
    </x:row>
    <x:row r="68" ht="24" customHeight="1">
      <x:c r="A68" s="2" t="str">
        <x:v>FM000067</x:v>
      </x:c>
      <x:c r="B68" s="15" t="n">
        <x:v>20000</x:v>
      </x:c>
      <x:c r="C68" s="2" t="str">
        <x:v>Nội thành</x:v>
      </x:c>
    </x:row>
    <x:row r="69" ht="24" customHeight="1">
      <x:c r="A69" s="2" t="str">
        <x:v>FM000068</x:v>
      </x:c>
      <x:c r="B69" s="15" t="n">
        <x:v>20000</x:v>
      </x:c>
      <x:c r="C69" s="2" t="str">
        <x:v>Nội thành</x:v>
      </x:c>
    </x:row>
    <x:row r="70" ht="24" customHeight="1">
      <x:c r="A70" s="2" t="str">
        <x:v>FM000069</x:v>
      </x:c>
      <x:c r="B70" s="15" t="n">
        <x:v>20000</x:v>
      </x:c>
      <x:c r="C70" s="2" t="str">
        <x:v>Nội thành</x:v>
      </x:c>
    </x:row>
    <x:row r="71" ht="24" customHeight="1">
      <x:c r="A71" s="2" t="str">
        <x:v>FM000070</x:v>
      </x:c>
      <x:c r="B71" s="15" t="n">
        <x:v>20000</x:v>
      </x:c>
      <x:c r="C71" s="2" t="str">
        <x:v>Nội thành</x:v>
      </x:c>
    </x:row>
    <x:row r="72" ht="24" customHeight="1">
      <x:c r="A72" s="2" t="str">
        <x:v>FM000071</x:v>
      </x:c>
      <x:c r="B72" s="15" t="n">
        <x:v>20000</x:v>
      </x:c>
      <x:c r="C72" s="2" t="str">
        <x:v>Nội thành</x:v>
      </x:c>
    </x:row>
    <x:row r="73" ht="24" customHeight="1">
      <x:c r="A73" s="2" t="str">
        <x:v>FM000072</x:v>
      </x:c>
      <x:c r="B73" s="15" t="n">
        <x:v>20000</x:v>
      </x:c>
      <x:c r="C73" s="2" t="str">
        <x:v>Nội thành</x:v>
      </x:c>
    </x:row>
    <x:row r="74" ht="24" customHeight="1">
      <x:c r="A74" s="2" t="str">
        <x:v>FM000073</x:v>
      </x:c>
      <x:c r="B74" s="15" t="n">
        <x:v>20000</x:v>
      </x:c>
      <x:c r="C74" s="2" t="str">
        <x:v>Nội thành</x:v>
      </x:c>
    </x:row>
    <x:row r="75" ht="24" customHeight="1">
      <x:c r="A75" s="2" t="str">
        <x:v>FM000074</x:v>
      </x:c>
      <x:c r="B75" s="15" t="n">
        <x:v>20000</x:v>
      </x:c>
      <x:c r="C75" s="2" t="str">
        <x:v>Nội thành</x:v>
      </x:c>
    </x:row>
    <x:row r="76" ht="24" customHeight="1">
      <x:c r="A76" s="2" t="str">
        <x:v>FM000075</x:v>
      </x:c>
      <x:c r="B76" s="15" t="n">
        <x:v>20000</x:v>
      </x:c>
      <x:c r="C76" s="2" t="str">
        <x:v>Nội thành</x:v>
      </x:c>
    </x:row>
    <x:row r="77" ht="24" customHeight="1">
      <x:c r="A77" s="2" t="str">
        <x:v>FM000076</x:v>
      </x:c>
      <x:c r="B77" s="15" t="n">
        <x:v>20000</x:v>
      </x:c>
      <x:c r="C77" s="2" t="str">
        <x:v>Nội thành</x:v>
      </x:c>
    </x:row>
    <x:row r="78" ht="24" customHeight="1">
      <x:c r="A78" s="2" t="str">
        <x:v>FM000077</x:v>
      </x:c>
      <x:c r="B78" s="15" t="n">
        <x:v>20000</x:v>
      </x:c>
      <x:c r="C78" s="2" t="str">
        <x:v>Nội thành</x:v>
      </x:c>
    </x:row>
    <x:row r="79" ht="24" customHeight="1">
      <x:c r="A79" s="2" t="str">
        <x:v>FM000078</x:v>
      </x:c>
      <x:c r="B79" s="15" t="n">
        <x:v>20000</x:v>
      </x:c>
      <x:c r="C79" s="2" t="str">
        <x:v>Nội thành</x:v>
      </x:c>
    </x:row>
    <x:row r="80" ht="24" customHeight="1">
      <x:c r="A80" s="2" t="str">
        <x:v>FM000079</x:v>
      </x:c>
      <x:c r="B80" s="15" t="n">
        <x:v>20000</x:v>
      </x:c>
      <x:c r="C80" s="2" t="str">
        <x:v>Nội thành</x:v>
      </x:c>
    </x:row>
    <x:row r="81" ht="24" customHeight="1">
      <x:c r="A81" s="2" t="str">
        <x:v>FM000080</x:v>
      </x:c>
      <x:c r="B81" s="15" t="n">
        <x:v>20000</x:v>
      </x:c>
      <x:c r="C81" s="2" t="str">
        <x:v>Nội thành</x:v>
      </x:c>
    </x:row>
    <x:row r="82" ht="24" customHeight="1">
      <x:c r="A82" s="2" t="str">
        <x:v>FM000081</x:v>
      </x:c>
      <x:c r="B82" s="15" t="n">
        <x:v>20000</x:v>
      </x:c>
      <x:c r="C82" s="2" t="str">
        <x:v>Nội thành</x:v>
      </x:c>
    </x:row>
    <x:row r="83" ht="24" customHeight="1">
      <x:c r="A83" s="2" t="str">
        <x:v>FM000082</x:v>
      </x:c>
      <x:c r="B83" s="15" t="n">
        <x:v>20000</x:v>
      </x:c>
      <x:c r="C83" s="2" t="str">
        <x:v>Nội thành</x:v>
      </x:c>
    </x:row>
    <x:row r="84" ht="24" customHeight="1">
      <x:c r="A84" s="2" t="str">
        <x:v>FM000083</x:v>
      </x:c>
      <x:c r="B84" s="15" t="n">
        <x:v>20000</x:v>
      </x:c>
      <x:c r="C84" s="2" t="str">
        <x:v>Nội thành</x:v>
      </x:c>
    </x:row>
    <x:row r="85" ht="24" customHeight="1">
      <x:c r="A85" s="2" t="str">
        <x:v>FM000084</x:v>
      </x:c>
      <x:c r="B85" s="15" t="n">
        <x:v>20000</x:v>
      </x:c>
      <x:c r="C85" s="2" t="str">
        <x:v>Nội thành</x:v>
      </x:c>
    </x:row>
    <x:row r="86" ht="24" customHeight="1">
      <x:c r="A86" s="2" t="str">
        <x:v>FM000085</x:v>
      </x:c>
      <x:c r="B86" s="15" t="n">
        <x:v>20000</x:v>
      </x:c>
      <x:c r="C86" s="2" t="str">
        <x:v>Nội thành</x:v>
      </x:c>
    </x:row>
    <x:row r="87" ht="24" customHeight="1">
      <x:c r="A87" s="2" t="str">
        <x:v>FM000086</x:v>
      </x:c>
      <x:c r="B87" s="15" t="n">
        <x:v>20000</x:v>
      </x:c>
      <x:c r="C87" s="2" t="str">
        <x:v>Nội thành</x:v>
      </x:c>
    </x:row>
    <x:row r="88" ht="24" customHeight="1">
      <x:c r="A88" s="2" t="str">
        <x:v>FM000087</x:v>
      </x:c>
      <x:c r="B88" s="15" t="n">
        <x:v>20000</x:v>
      </x:c>
      <x:c r="C88" s="2" t="str">
        <x:v>Nội thành</x:v>
      </x:c>
    </x:row>
    <x:row r="89" ht="24" customHeight="1">
      <x:c r="A89" s="2" t="str">
        <x:v>FM000088</x:v>
      </x:c>
      <x:c r="B89" s="15" t="n">
        <x:v>20000</x:v>
      </x:c>
      <x:c r="C89" s="2" t="str">
        <x:v>Nội thành</x:v>
      </x:c>
    </x:row>
    <x:row r="90" ht="24" customHeight="1">
      <x:c r="A90" s="2" t="str">
        <x:v>FM000089</x:v>
      </x:c>
      <x:c r="B90" s="15" t="n">
        <x:v>20000</x:v>
      </x:c>
      <x:c r="C90" s="2" t="str">
        <x:v>Nội thành</x:v>
      </x:c>
    </x:row>
    <x:row r="91" ht="24" customHeight="1">
      <x:c r="A91" s="2" t="str">
        <x:v>FM000090</x:v>
      </x:c>
      <x:c r="B91" s="15" t="n">
        <x:v>20000</x:v>
      </x:c>
      <x:c r="C91" s="2" t="str">
        <x:v>Nội thành</x:v>
      </x:c>
    </x:row>
    <x:row r="92" ht="24" customHeight="1">
      <x:c r="A92" s="2" t="str">
        <x:v>FM000091</x:v>
      </x:c>
      <x:c r="B92" s="15" t="n">
        <x:v>20000</x:v>
      </x:c>
      <x:c r="C92" s="2" t="str">
        <x:v>Nội thành</x:v>
      </x:c>
    </x:row>
    <x:row r="93" ht="24" customHeight="1">
      <x:c r="A93" s="2" t="str">
        <x:v>FM000092</x:v>
      </x:c>
      <x:c r="B93" s="15" t="n">
        <x:v>20000</x:v>
      </x:c>
      <x:c r="C93" s="2" t="str">
        <x:v>Nội thành</x:v>
      </x:c>
    </x:row>
    <x:row r="94" ht="24" customHeight="1">
      <x:c r="A94" s="2" t="str">
        <x:v>FM000093</x:v>
      </x:c>
      <x:c r="B94" s="15" t="n">
        <x:v>20000</x:v>
      </x:c>
      <x:c r="C94" s="2" t="str">
        <x:v>Nội thành</x:v>
      </x:c>
    </x:row>
    <x:row r="95" ht="24" customHeight="1">
      <x:c r="A95" s="2" t="str">
        <x:v>FM000094</x:v>
      </x:c>
      <x:c r="B95" s="15" t="n">
        <x:v>20000</x:v>
      </x:c>
      <x:c r="C95" s="2" t="str">
        <x:v>Nội thành</x:v>
      </x:c>
    </x:row>
    <x:row r="96" ht="24" customHeight="1">
      <x:c r="A96" s="2" t="str">
        <x:v>FM000095</x:v>
      </x:c>
      <x:c r="B96" s="15" t="n">
        <x:v>20000</x:v>
      </x:c>
      <x:c r="C96" s="2" t="str">
        <x:v>Nội thành</x:v>
      </x:c>
    </x:row>
    <x:row r="97" ht="24" customHeight="1">
      <x:c r="A97" s="2" t="str">
        <x:v>FM000096</x:v>
      </x:c>
      <x:c r="B97" s="15" t="n">
        <x:v>20000</x:v>
      </x:c>
      <x:c r="C97" s="2" t="str">
        <x:v>Nội thành</x:v>
      </x:c>
    </x:row>
    <x:row r="98" ht="24" customHeight="1">
      <x:c r="A98" s="2" t="str">
        <x:v>FM000097</x:v>
      </x:c>
      <x:c r="B98" s="15" t="n">
        <x:v>20000</x:v>
      </x:c>
      <x:c r="C98" s="2" t="str">
        <x:v>Nội thành</x:v>
      </x:c>
    </x:row>
    <x:row r="99" ht="24" customHeight="1">
      <x:c r="A99" s="2" t="str">
        <x:v>FM000098</x:v>
      </x:c>
      <x:c r="B99" s="15" t="n">
        <x:v>20000</x:v>
      </x:c>
      <x:c r="C99" s="2" t="str">
        <x:v>Nội thành</x:v>
      </x:c>
    </x:row>
    <x:row r="100" ht="24" customHeight="1">
      <x:c r="A100" s="2" t="str">
        <x:v>FM000099</x:v>
      </x:c>
      <x:c r="B100" s="15" t="n">
        <x:v>20000</x:v>
      </x:c>
      <x:c r="C100" s="2" t="str">
        <x:v>Nội thành</x:v>
      </x:c>
    </x:row>
    <x:row r="101" ht="24" customHeight="1">
      <x:c r="A101" s="2" t="str">
        <x:v>FM000100</x:v>
      </x:c>
      <x:c r="B101" s="15" t="n">
        <x:v>20000</x:v>
      </x:c>
      <x:c r="C101" s="2" t="str">
        <x:v>Nội thành</x:v>
      </x:c>
    </x:row>
    <x:row r="102" ht="24" customHeight="1">
      <x:c r="A102" s="2" t="str">
        <x:v>FM000101</x:v>
      </x:c>
      <x:c r="B102" s="15" t="n">
        <x:v>20000</x:v>
      </x:c>
      <x:c r="C102" s="2" t="str">
        <x:v>Nội thành</x:v>
      </x:c>
    </x:row>
    <x:row r="103" ht="24" customHeight="1">
      <x:c r="A103" s="2" t="str">
        <x:v>FM000102</x:v>
      </x:c>
      <x:c r="B103" s="15" t="n">
        <x:v>20000</x:v>
      </x:c>
      <x:c r="C103" s="2" t="str">
        <x:v>Nội thành</x:v>
      </x:c>
    </x:row>
    <x:row r="104" ht="24" customHeight="1">
      <x:c r="A104" s="2" t="str">
        <x:v>FM000103</x:v>
      </x:c>
      <x:c r="B104" s="15" t="n">
        <x:v>20000</x:v>
      </x:c>
      <x:c r="C104" s="2" t="str">
        <x:v>Nội thành</x:v>
      </x:c>
    </x:row>
    <x:row r="105" ht="24" customHeight="1">
      <x:c r="A105" s="2" t="str">
        <x:v>FM000104</x:v>
      </x:c>
      <x:c r="B105" s="15" t="n">
        <x:v>20000</x:v>
      </x:c>
      <x:c r="C105" s="2" t="str">
        <x:v>Nội thành</x:v>
      </x:c>
    </x:row>
    <x:row r="106" ht="24" customHeight="1">
      <x:c r="A106" s="2" t="str">
        <x:v>FM000105</x:v>
      </x:c>
      <x:c r="B106" s="15" t="n">
        <x:v>20000</x:v>
      </x:c>
      <x:c r="C106" s="2" t="str">
        <x:v>Nội thành</x:v>
      </x:c>
    </x:row>
    <x:row r="107" ht="24" customHeight="1">
      <x:c r="A107" s="2" t="str">
        <x:v>FM000106</x:v>
      </x:c>
      <x:c r="B107" s="15" t="n">
        <x:v>20000</x:v>
      </x:c>
      <x:c r="C107" s="2" t="str">
        <x:v>Nội thành</x:v>
      </x:c>
    </x:row>
    <x:row r="108" ht="24" customHeight="1">
      <x:c r="A108" s="2" t="str">
        <x:v>FM000107</x:v>
      </x:c>
      <x:c r="B108" s="15" t="n">
        <x:v>20000</x:v>
      </x:c>
      <x:c r="C108" s="2" t="str">
        <x:v>Nội thành</x:v>
      </x:c>
    </x:row>
    <x:row r="109" ht="24" customHeight="1">
      <x:c r="A109" s="2" t="str">
        <x:v>FM000108</x:v>
      </x:c>
      <x:c r="B109" s="15" t="n">
        <x:v>20000</x:v>
      </x:c>
      <x:c r="C109" s="2" t="str">
        <x:v>Nội thành</x:v>
      </x:c>
    </x:row>
    <x:row r="110" ht="24" customHeight="1">
      <x:c r="A110" s="2" t="str">
        <x:v>FM000109</x:v>
      </x:c>
      <x:c r="B110" s="15" t="n">
        <x:v>20000</x:v>
      </x:c>
      <x:c r="C110" s="2" t="str">
        <x:v>Nội thành</x:v>
      </x:c>
    </x:row>
    <x:row r="111" ht="24" customHeight="1">
      <x:c r="A111" s="2" t="str">
        <x:v>FM000110</x:v>
      </x:c>
      <x:c r="B111" s="15" t="n">
        <x:v>20000</x:v>
      </x:c>
      <x:c r="C111" s="2" t="str">
        <x:v>Nội thành</x:v>
      </x:c>
    </x:row>
    <x:row r="112" ht="24" customHeight="1">
      <x:c r="A112" s="2" t="str">
        <x:v>FM000111</x:v>
      </x:c>
      <x:c r="B112" s="15" t="n">
        <x:v>20000</x:v>
      </x:c>
      <x:c r="C112" s="2" t="str">
        <x:v>Nội thành</x:v>
      </x:c>
    </x:row>
    <x:row r="113" ht="24" customHeight="1">
      <x:c r="A113" s="2" t="str">
        <x:v>FM000112</x:v>
      </x:c>
      <x:c r="B113" s="15" t="n">
        <x:v>20000</x:v>
      </x:c>
      <x:c r="C113" s="2" t="str">
        <x:v>Nội thành</x:v>
      </x:c>
    </x:row>
    <x:row r="114" ht="24" customHeight="1">
      <x:c r="A114" s="2" t="str">
        <x:v>FM000113</x:v>
      </x:c>
      <x:c r="B114" s="15" t="n">
        <x:v>20000</x:v>
      </x:c>
      <x:c r="C114" s="2" t="str">
        <x:v>Nội thành</x:v>
      </x:c>
    </x:row>
    <x:row r="115" ht="24" customHeight="1">
      <x:c r="A115" s="2" t="str">
        <x:v>FM000114</x:v>
      </x:c>
      <x:c r="B115" s="15" t="n">
        <x:v>20000</x:v>
      </x:c>
      <x:c r="C115" s="2" t="str">
        <x:v>Nội thành</x:v>
      </x:c>
    </x:row>
    <x:row r="116" ht="24" customHeight="1">
      <x:c r="A116" s="2" t="str">
        <x:v>FM000115</x:v>
      </x:c>
      <x:c r="B116" s="15" t="n">
        <x:v>20000</x:v>
      </x:c>
      <x:c r="C116" s="2" t="str">
        <x:v>Nội thành</x:v>
      </x:c>
    </x:row>
    <x:row r="117" ht="24" customHeight="1">
      <x:c r="A117" s="2" t="str">
        <x:v>FM000116</x:v>
      </x:c>
      <x:c r="B117" s="15" t="n">
        <x:v>20000</x:v>
      </x:c>
      <x:c r="C117" s="2" t="str">
        <x:v>Nội thành</x:v>
      </x:c>
    </x:row>
    <x:row r="118" ht="24" customHeight="1">
      <x:c r="A118" s="2" t="str">
        <x:v>FM000117</x:v>
      </x:c>
      <x:c r="B118" s="15" t="n">
        <x:v>20000</x:v>
      </x:c>
      <x:c r="C118" s="2" t="str">
        <x:v>Nội thành</x:v>
      </x:c>
    </x:row>
    <x:row r="119" ht="24" customHeight="1">
      <x:c r="A119" s="2" t="str">
        <x:v>FM000118</x:v>
      </x:c>
      <x:c r="B119" s="15" t="n">
        <x:v>20000</x:v>
      </x:c>
      <x:c r="C119" s="2" t="str">
        <x:v>Nội thành</x:v>
      </x:c>
    </x:row>
    <x:row r="120" ht="24" customHeight="1">
      <x:c r="A120" s="2" t="str">
        <x:v>FM000119</x:v>
      </x:c>
      <x:c r="B120" s="15" t="n">
        <x:v>20000</x:v>
      </x:c>
      <x:c r="C120" s="2" t="str">
        <x:v>Nội thành</x:v>
      </x:c>
    </x:row>
    <x:row r="121" ht="24" customHeight="1">
      <x:c r="A121" s="2" t="str">
        <x:v>FM000120</x:v>
      </x:c>
      <x:c r="B121" s="15" t="n">
        <x:v>20000</x:v>
      </x:c>
      <x:c r="C121" s="2" t="str">
        <x:v>Nội thành</x:v>
      </x:c>
    </x:row>
    <x:row r="122" ht="24" customHeight="1">
      <x:c r="A122" s="2" t="str">
        <x:v>FM000121</x:v>
      </x:c>
      <x:c r="B122" s="15" t="n">
        <x:v>20000</x:v>
      </x:c>
      <x:c r="C122" s="2" t="str">
        <x:v>Nội thành</x:v>
      </x:c>
    </x:row>
    <x:row r="123" ht="24" customHeight="1">
      <x:c r="A123" s="2" t="str">
        <x:v>FM000122</x:v>
      </x:c>
      <x:c r="B123" s="15" t="n">
        <x:v>20000</x:v>
      </x:c>
      <x:c r="C123" s="2" t="str">
        <x:v>Nội thành</x:v>
      </x:c>
    </x:row>
    <x:row r="124" ht="24" customHeight="1">
      <x:c r="A124" s="2" t="str">
        <x:v>FM000123</x:v>
      </x:c>
      <x:c r="B124" s="15" t="n">
        <x:v>20000</x:v>
      </x:c>
      <x:c r="C124" s="2" t="str">
        <x:v>Nội thành</x:v>
      </x:c>
    </x:row>
    <x:row r="125" ht="24" customHeight="1">
      <x:c r="A125" s="2" t="str">
        <x:v>FM000124</x:v>
      </x:c>
      <x:c r="B125" s="15" t="n">
        <x:v>20000</x:v>
      </x:c>
      <x:c r="C125" s="2" t="str">
        <x:v>Nội thành</x:v>
      </x:c>
    </x:row>
    <x:row r="126" ht="24" customHeight="1">
      <x:c r="A126" s="2" t="str">
        <x:v>FM000125</x:v>
      </x:c>
      <x:c r="B126" s="15" t="n">
        <x:v>20000</x:v>
      </x:c>
      <x:c r="C126" s="2" t="str">
        <x:v>Nội thành</x:v>
      </x:c>
    </x:row>
    <x:row r="127" ht="24" customHeight="1">
      <x:c r="A127" s="2" t="str">
        <x:v>FM000126</x:v>
      </x:c>
      <x:c r="B127" s="15" t="n">
        <x:v>30000</x:v>
      </x:c>
      <x:c r="C127" s="2" t="str">
        <x:v>Ngoại thành</x:v>
      </x:c>
    </x:row>
    <x:row r="128" ht="24" customHeight="1">
      <x:c r="A128" s="2" t="str">
        <x:v>FM000127</x:v>
      </x:c>
      <x:c r="B128" s="15" t="n">
        <x:v>30000</x:v>
      </x:c>
      <x:c r="C128" s="2" t="str">
        <x:v>Ngoại thành</x:v>
      </x:c>
    </x:row>
    <x:row r="129" ht="24" customHeight="1">
      <x:c r="A129" s="2" t="str">
        <x:v>FM000128</x:v>
      </x:c>
      <x:c r="B129" s="15" t="n">
        <x:v>30000</x:v>
      </x:c>
      <x:c r="C129" s="2" t="str">
        <x:v>Ngoại thành</x:v>
      </x:c>
    </x:row>
    <x:row r="130" ht="24" customHeight="1">
      <x:c r="A130" s="2" t="str">
        <x:v>FM000129</x:v>
      </x:c>
      <x:c r="B130" s="15" t="n">
        <x:v>30000</x:v>
      </x:c>
      <x:c r="C130" s="2" t="str">
        <x:v>Ngoại thành</x:v>
      </x:c>
    </x:row>
    <x:row r="131" ht="24" customHeight="1">
      <x:c r="A131" s="2" t="str">
        <x:v>FM000130</x:v>
      </x:c>
      <x:c r="B131" s="15" t="n">
        <x:v>30000</x:v>
      </x:c>
      <x:c r="C131" s="2" t="str">
        <x:v>Ngoại thành</x:v>
      </x:c>
    </x:row>
    <x:row r="132" ht="24" customHeight="1">
      <x:c r="A132" s="2" t="str">
        <x:v>FM000131</x:v>
      </x:c>
      <x:c r="B132" s="15" t="n">
        <x:v>30000</x:v>
      </x:c>
      <x:c r="C132" s="2" t="str">
        <x:v>Ngoại thành</x:v>
      </x:c>
    </x:row>
    <x:row r="133" ht="24" customHeight="1">
      <x:c r="A133" s="2" t="str">
        <x:v>FM000132</x:v>
      </x:c>
      <x:c r="B133" s="15" t="n">
        <x:v>30000</x:v>
      </x:c>
      <x:c r="C133" s="2" t="str">
        <x:v>Ngoại thành</x:v>
      </x:c>
    </x:row>
    <x:row r="134" ht="24" customHeight="1">
      <x:c r="A134" s="2" t="str">
        <x:v>FM000133</x:v>
      </x:c>
      <x:c r="B134" s="15" t="n">
        <x:v>30000</x:v>
      </x:c>
      <x:c r="C134" s="2" t="str">
        <x:v>Ngoại thành</x:v>
      </x:c>
    </x:row>
    <x:row r="135" ht="24" customHeight="1">
      <x:c r="A135" s="2" t="str">
        <x:v>FM000134</x:v>
      </x:c>
      <x:c r="B135" s="15" t="n">
        <x:v>30000</x:v>
      </x:c>
      <x:c r="C135" s="2" t="str">
        <x:v>Ngoại thành</x:v>
      </x:c>
    </x:row>
    <x:row r="136" ht="24" customHeight="1">
      <x:c r="A136" s="2" t="str">
        <x:v>FM000135</x:v>
      </x:c>
      <x:c r="B136" s="15" t="n">
        <x:v>30000</x:v>
      </x:c>
      <x:c r="C136" s="2" t="str">
        <x:v>Ngoại thành</x:v>
      </x:c>
    </x:row>
    <x:row r="137" ht="24" customHeight="1">
      <x:c r="A137" s="2" t="str">
        <x:v>FM000136</x:v>
      </x:c>
      <x:c r="B137" s="15" t="n">
        <x:v>30000</x:v>
      </x:c>
      <x:c r="C137" s="2" t="str">
        <x:v>Ngoại thành</x:v>
      </x:c>
    </x:row>
    <x:row r="138" ht="24" customHeight="1">
      <x:c r="A138" s="2" t="str">
        <x:v>FM000137</x:v>
      </x:c>
      <x:c r="B138" s="15" t="n">
        <x:v>30000</x:v>
      </x:c>
      <x:c r="C138" s="2" t="str">
        <x:v>Ngoại thành</x:v>
      </x:c>
    </x:row>
    <x:row r="139" ht="24" customHeight="1">
      <x:c r="A139" s="2" t="str">
        <x:v>FM000138</x:v>
      </x:c>
      <x:c r="B139" s="15" t="n">
        <x:v>30000</x:v>
      </x:c>
      <x:c r="C139" s="2" t="str">
        <x:v>Ngoại thành</x:v>
      </x:c>
    </x:row>
    <x:row r="140" ht="24" customHeight="1">
      <x:c r="A140" s="2" t="str">
        <x:v>FM000139</x:v>
      </x:c>
      <x:c r="B140" s="15" t="n">
        <x:v>30000</x:v>
      </x:c>
      <x:c r="C140" s="2" t="str">
        <x:v>Ngoại thành</x:v>
      </x:c>
    </x:row>
    <x:row r="141" ht="24" customHeight="1">
      <x:c r="A141" s="2" t="str">
        <x:v>FM000140</x:v>
      </x:c>
      <x:c r="B141" s="15" t="n">
        <x:v>30000</x:v>
      </x:c>
      <x:c r="C141" s="2" t="str">
        <x:v>Ngoại thành</x:v>
      </x:c>
    </x:row>
    <x:row r="142" ht="24" customHeight="1">
      <x:c r="A142" s="2" t="str">
        <x:v>FM000141</x:v>
      </x:c>
      <x:c r="B142" s="15" t="n">
        <x:v>30000</x:v>
      </x:c>
      <x:c r="C142" s="2" t="str">
        <x:v>Ngoại thành</x:v>
      </x:c>
    </x:row>
    <x:row r="143" ht="24" customHeight="1">
      <x:c r="A143" s="2" t="str">
        <x:v>FM000142</x:v>
      </x:c>
      <x:c r="B143" s="15" t="n">
        <x:v>30000</x:v>
      </x:c>
      <x:c r="C143" s="2" t="str">
        <x:v>Ngoại thành</x:v>
      </x:c>
    </x:row>
    <x:row r="144" ht="24" customHeight="1">
      <x:c r="A144" s="2" t="str">
        <x:v>FM000143</x:v>
      </x:c>
      <x:c r="B144" s="15" t="n">
        <x:v>30000</x:v>
      </x:c>
      <x:c r="C144" s="2" t="str">
        <x:v>Ngoại thành</x:v>
      </x:c>
    </x:row>
    <x:row r="145" ht="24" customHeight="1">
      <x:c r="A145" s="2" t="str">
        <x:v>FM000144</x:v>
      </x:c>
      <x:c r="B145" s="15" t="n">
        <x:v>30000</x:v>
      </x:c>
      <x:c r="C145" s="2" t="str">
        <x:v>Ngoại thành</x:v>
      </x:c>
    </x:row>
    <x:row r="146" ht="24" customHeight="1">
      <x:c r="A146" s="2" t="str">
        <x:v>FM000145</x:v>
      </x:c>
      <x:c r="B146" s="15" t="n">
        <x:v>30000</x:v>
      </x:c>
      <x:c r="C146" s="2" t="str">
        <x:v>Ngoại thành</x:v>
      </x:c>
    </x:row>
    <x:row r="147" ht="24" customHeight="1">
      <x:c r="A147" s="2" t="str">
        <x:v>FM000146</x:v>
      </x:c>
      <x:c r="B147" s="15" t="n">
        <x:v>30000</x:v>
      </x:c>
      <x:c r="C147" s="2" t="str">
        <x:v>Ngoại thành</x:v>
      </x:c>
    </x:row>
    <x:row r="148" ht="24" customHeight="1">
      <x:c r="A148" s="2" t="str">
        <x:v>FM000147</x:v>
      </x:c>
      <x:c r="B148" s="15" t="n">
        <x:v>30000</x:v>
      </x:c>
      <x:c r="C148" s="2" t="str">
        <x:v>Ngoại thành</x:v>
      </x:c>
    </x:row>
    <x:row r="149" ht="24" customHeight="1">
      <x:c r="A149" s="2" t="str">
        <x:v>FM000148</x:v>
      </x:c>
      <x:c r="B149" s="15" t="n">
        <x:v>30000</x:v>
      </x:c>
      <x:c r="C149" s="2" t="str">
        <x:v>Ngoại thành</x:v>
      </x:c>
    </x:row>
    <x:row r="150" ht="24" customHeight="1">
      <x:c r="A150" s="2" t="str">
        <x:v>FM000149</x:v>
      </x:c>
      <x:c r="B150" s="15" t="n">
        <x:v>30000</x:v>
      </x:c>
      <x:c r="C150" s="2" t="str">
        <x:v>Ngoại thành</x:v>
      </x:c>
    </x:row>
    <x:row r="151" ht="24" customHeight="1">
      <x:c r="A151" s="2" t="str">
        <x:v>FM000150</x:v>
      </x:c>
      <x:c r="B151" s="15" t="n">
        <x:v>30000</x:v>
      </x:c>
      <x:c r="C151" s="2" t="str">
        <x:v>Ngoại thành</x:v>
      </x:c>
    </x:row>
    <x:row r="152" ht="24" customHeight="1">
      <x:c r="A152" s="2" t="str">
        <x:v>FM000151</x:v>
      </x:c>
      <x:c r="B152" s="15" t="n">
        <x:v>30000</x:v>
      </x:c>
      <x:c r="C152" s="2" t="str">
        <x:v>Ngoại thành</x:v>
      </x:c>
    </x:row>
    <x:row r="153" ht="24" customHeight="1">
      <x:c r="A153" s="2" t="str">
        <x:v>FM000152</x:v>
      </x:c>
      <x:c r="B153" s="15" t="n">
        <x:v>30000</x:v>
      </x:c>
      <x:c r="C153" s="2" t="str">
        <x:v>Ngoại thành</x:v>
      </x:c>
    </x:row>
    <x:row r="154" ht="24" customHeight="1">
      <x:c r="A154" s="2" t="str">
        <x:v>FM000153</x:v>
      </x:c>
      <x:c r="B154" s="15" t="n">
        <x:v>30000</x:v>
      </x:c>
      <x:c r="C154" s="2" t="str">
        <x:v>Ngoại thành</x:v>
      </x:c>
    </x:row>
    <x:row r="155" ht="24" customHeight="1">
      <x:c r="A155" s="2" t="str">
        <x:v>FM000154</x:v>
      </x:c>
      <x:c r="B155" s="15" t="n">
        <x:v>30000</x:v>
      </x:c>
      <x:c r="C155" s="2" t="str">
        <x:v>Ngoại thành</x:v>
      </x:c>
    </x:row>
    <x:row r="156" ht="24" customHeight="1">
      <x:c r="A156" s="2" t="str">
        <x:v>FM000155</x:v>
      </x:c>
      <x:c r="B156" s="15" t="n">
        <x:v>30000</x:v>
      </x:c>
      <x:c r="C156" s="2" t="str">
        <x:v>Ngoại thành</x:v>
      </x:c>
    </x:row>
    <x:row r="157" ht="24" customHeight="1">
      <x:c r="A157" s="2" t="str">
        <x:v>FM000156</x:v>
      </x:c>
      <x:c r="B157" s="15" t="n">
        <x:v>30000</x:v>
      </x:c>
      <x:c r="C157" s="2" t="str">
        <x:v>Ngoại thành</x:v>
      </x:c>
    </x:row>
    <x:row r="158" ht="24" customHeight="1">
      <x:c r="A158" s="2" t="str">
        <x:v>FM000157</x:v>
      </x:c>
      <x:c r="B158" s="15" t="n">
        <x:v>30000</x:v>
      </x:c>
      <x:c r="C158" s="2" t="str">
        <x:v>Ngoại thành</x:v>
      </x:c>
    </x:row>
    <x:row r="159" ht="24" customHeight="1">
      <x:c r="A159" s="2" t="str">
        <x:v>FM000158</x:v>
      </x:c>
      <x:c r="B159" s="15" t="n">
        <x:v>30000</x:v>
      </x:c>
      <x:c r="C159" s="2" t="str">
        <x:v>Ngoại thành</x:v>
      </x:c>
    </x:row>
    <x:row r="160" ht="24" customHeight="1">
      <x:c r="A160" s="2" t="str">
        <x:v>FM000159</x:v>
      </x:c>
      <x:c r="B160" s="15" t="n">
        <x:v>30000</x:v>
      </x:c>
      <x:c r="C160" s="2" t="str">
        <x:v>Ngoại thành</x:v>
      </x:c>
    </x:row>
    <x:row r="161" ht="24" customHeight="1">
      <x:c r="A161" s="2" t="str">
        <x:v>FM000160</x:v>
      </x:c>
      <x:c r="B161" s="15" t="n">
        <x:v>30000</x:v>
      </x:c>
      <x:c r="C161" s="2" t="str">
        <x:v>Ngoại thành</x:v>
      </x:c>
    </x:row>
    <x:row r="162" ht="24" customHeight="1">
      <x:c r="A162" s="2" t="str">
        <x:v>FM000161</x:v>
      </x:c>
      <x:c r="B162" s="15" t="n">
        <x:v>30000</x:v>
      </x:c>
      <x:c r="C162" s="2" t="str">
        <x:v>Ngoại thành</x:v>
      </x:c>
    </x:row>
    <x:row r="163" ht="24" customHeight="1">
      <x:c r="A163" s="2" t="str">
        <x:v>FM000162</x:v>
      </x:c>
      <x:c r="B163" s="15" t="n">
        <x:v>30000</x:v>
      </x:c>
      <x:c r="C163" s="2" t="str">
        <x:v>Ngoại thành</x:v>
      </x:c>
    </x:row>
    <x:row r="164" ht="24" customHeight="1">
      <x:c r="A164" s="2" t="str">
        <x:v>FM000163</x:v>
      </x:c>
      <x:c r="B164" s="15" t="n">
        <x:v>30000</x:v>
      </x:c>
      <x:c r="C164" s="2" t="str">
        <x:v>Ngoại thành</x:v>
      </x:c>
    </x:row>
    <x:row r="165" ht="24" customHeight="1">
      <x:c r="A165" s="2" t="str">
        <x:v>FM000164</x:v>
      </x:c>
      <x:c r="B165" s="15" t="n">
        <x:v>30000</x:v>
      </x:c>
      <x:c r="C165" s="2" t="str">
        <x:v>Ngoại thành</x:v>
      </x:c>
    </x:row>
    <x:row r="166" ht="24" customHeight="1">
      <x:c r="A166" s="2" t="str">
        <x:v>FM000165</x:v>
      </x:c>
      <x:c r="B166" s="15" t="n">
        <x:v>30000</x:v>
      </x:c>
      <x:c r="C166" s="2" t="str">
        <x:v>Ngoại thành</x:v>
      </x:c>
    </x:row>
    <x:row r="167" ht="24" customHeight="1">
      <x:c r="A167" s="2" t="str">
        <x:v>FM000166</x:v>
      </x:c>
      <x:c r="B167" s="15" t="n">
        <x:v>30000</x:v>
      </x:c>
      <x:c r="C167" s="2" t="str">
        <x:v>Ngoại thành</x:v>
      </x:c>
    </x:row>
    <x:row r="168" ht="24" customHeight="1">
      <x:c r="A168" s="2" t="str">
        <x:v>FM000167</x:v>
      </x:c>
      <x:c r="B168" s="15" t="n">
        <x:v>30000</x:v>
      </x:c>
      <x:c r="C168" s="2" t="str">
        <x:v>Ngoại thành</x:v>
      </x:c>
    </x:row>
    <x:row r="169" ht="24" customHeight="1">
      <x:c r="A169" s="2" t="str">
        <x:v>FM000168</x:v>
      </x:c>
      <x:c r="B169" s="15" t="n">
        <x:v>30000</x:v>
      </x:c>
      <x:c r="C169" s="2" t="str">
        <x:v>Ngoại thành</x:v>
      </x:c>
    </x:row>
    <x:row r="170" ht="24" customHeight="1">
      <x:c r="A170" s="2" t="str">
        <x:v>FM000169</x:v>
      </x:c>
      <x:c r="B170" s="15" t="n">
        <x:v>30000</x:v>
      </x:c>
      <x:c r="C170" s="2" t="str">
        <x:v>Ngoại thành</x:v>
      </x:c>
    </x:row>
    <x:row r="171" ht="24" customHeight="1">
      <x:c r="A171" s="2" t="str">
        <x:v>FM000170</x:v>
      </x:c>
      <x:c r="B171" s="15" t="n">
        <x:v>30000</x:v>
      </x:c>
      <x:c r="C171" s="2" t="str">
        <x:v>Ngoại thành</x:v>
      </x:c>
    </x:row>
    <x:row r="172" ht="24" customHeight="1">
      <x:c r="A172" s="2" t="str">
        <x:v>FM000171</x:v>
      </x:c>
      <x:c r="B172" s="15" t="n">
        <x:v>30000</x:v>
      </x:c>
      <x:c r="C172" s="2" t="str">
        <x:v>Ngoại thành</x:v>
      </x:c>
    </x:row>
    <x:row r="173" ht="24" customHeight="1">
      <x:c r="A173" s="2" t="str">
        <x:v>FM000172</x:v>
      </x:c>
      <x:c r="B173" s="15" t="n">
        <x:v>30000</x:v>
      </x:c>
      <x:c r="C173" s="2" t="str">
        <x:v>Ngoại thành</x:v>
      </x:c>
    </x:row>
    <x:row r="174" ht="24" customHeight="1">
      <x:c r="A174" s="2" t="str">
        <x:v>FM000173</x:v>
      </x:c>
      <x:c r="B174" s="15" t="n">
        <x:v>30000</x:v>
      </x:c>
      <x:c r="C174" s="2" t="str">
        <x:v>Ngoại thành</x:v>
      </x:c>
    </x:row>
    <x:row r="175" ht="24" customHeight="1">
      <x:c r="A175" s="2" t="str">
        <x:v>FM000174</x:v>
      </x:c>
      <x:c r="B175" s="15" t="n">
        <x:v>30000</x:v>
      </x:c>
      <x:c r="C175" s="2" t="str">
        <x:v>Ngoại thành</x:v>
      </x:c>
    </x:row>
    <x:row r="176" ht="24" customHeight="1">
      <x:c r="A176" s="2" t="str">
        <x:v>FM000175</x:v>
      </x:c>
      <x:c r="B176" s="15" t="n">
        <x:v>30000</x:v>
      </x:c>
      <x:c r="C176" s="2" t="str">
        <x:v>Ngoại thành</x:v>
      </x:c>
    </x:row>
    <x:row r="177" ht="24" customHeight="1">
      <x:c r="A177" s="2" t="str">
        <x:v>FM000176</x:v>
      </x:c>
      <x:c r="B177" s="15" t="n">
        <x:v>30000</x:v>
      </x:c>
      <x:c r="C177" s="2" t="str">
        <x:v>Ngoại thành</x:v>
      </x:c>
    </x:row>
    <x:row r="178" ht="24" customHeight="1">
      <x:c r="A178" s="2" t="str">
        <x:v>FM000177</x:v>
      </x:c>
      <x:c r="B178" s="15" t="n">
        <x:v>30000</x:v>
      </x:c>
      <x:c r="C178" s="2" t="str">
        <x:v>Ngoại thành</x:v>
      </x:c>
    </x:row>
    <x:row r="179" ht="24" customHeight="1">
      <x:c r="A179" s="2" t="str">
        <x:v>FM000178</x:v>
      </x:c>
      <x:c r="B179" s="15" t="n">
        <x:v>30000</x:v>
      </x:c>
      <x:c r="C179" s="2" t="str">
        <x:v>Ngoại thành</x:v>
      </x:c>
    </x:row>
    <x:row r="180" ht="24" customHeight="1">
      <x:c r="A180" s="2" t="str">
        <x:v>FM000179</x:v>
      </x:c>
      <x:c r="B180" s="15" t="n">
        <x:v>30000</x:v>
      </x:c>
      <x:c r="C180" s="2" t="str">
        <x:v>Ngoại thành</x:v>
      </x:c>
    </x:row>
    <x:row r="181" ht="24" customHeight="1">
      <x:c r="A181" s="2" t="str">
        <x:v>FM000180</x:v>
      </x:c>
      <x:c r="B181" s="15" t="n">
        <x:v>30000</x:v>
      </x:c>
      <x:c r="C181" s="2" t="str">
        <x:v>Ngoại thành</x:v>
      </x:c>
    </x:row>
    <x:row r="182" ht="24" customHeight="1">
      <x:c r="A182" s="2" t="str">
        <x:v>FM000181</x:v>
      </x:c>
      <x:c r="B182" s="15" t="n">
        <x:v>30000</x:v>
      </x:c>
      <x:c r="C182" s="2" t="str">
        <x:v>Ngoại thành</x:v>
      </x:c>
    </x:row>
    <x:row r="183" ht="24" customHeight="1">
      <x:c r="A183" s="2" t="str">
        <x:v>FM000182</x:v>
      </x:c>
      <x:c r="B183" s="15" t="n">
        <x:v>30000</x:v>
      </x:c>
      <x:c r="C183" s="2" t="str">
        <x:v>Ngoại thành</x:v>
      </x:c>
    </x:row>
    <x:row r="184" ht="24" customHeight="1">
      <x:c r="A184" s="2" t="str">
        <x:v>FM000183</x:v>
      </x:c>
      <x:c r="B184" s="15" t="n">
        <x:v>30000</x:v>
      </x:c>
      <x:c r="C184" s="2" t="str">
        <x:v>Ngoại thành</x:v>
      </x:c>
    </x:row>
    <x:row r="185" ht="24" customHeight="1">
      <x:c r="A185" s="2" t="str">
        <x:v>FM000184</x:v>
      </x:c>
      <x:c r="B185" s="15" t="n">
        <x:v>30000</x:v>
      </x:c>
      <x:c r="C185" s="2" t="str">
        <x:v>Ngoại thành</x:v>
      </x:c>
    </x:row>
    <x:row r="186" ht="24" customHeight="1">
      <x:c r="A186" s="2" t="str">
        <x:v>FM000185</x:v>
      </x:c>
      <x:c r="B186" s="15" t="n">
        <x:v>30000</x:v>
      </x:c>
      <x:c r="C186" s="2" t="str">
        <x:v>Ngoại thành</x:v>
      </x:c>
    </x:row>
    <x:row r="187" ht="24" customHeight="1">
      <x:c r="A187" s="2" t="str">
        <x:v>FM000186</x:v>
      </x:c>
      <x:c r="B187" s="15" t="n">
        <x:v>30000</x:v>
      </x:c>
      <x:c r="C187" s="2" t="str">
        <x:v>Ngoại thành</x:v>
      </x:c>
    </x:row>
    <x:row r="188" ht="24" customHeight="1">
      <x:c r="A188" s="2" t="str">
        <x:v>FM000187</x:v>
      </x:c>
      <x:c r="B188" s="15" t="n">
        <x:v>30000</x:v>
      </x:c>
      <x:c r="C188" s="2" t="str">
        <x:v>Ngoại thành</x:v>
      </x:c>
    </x:row>
    <x:row r="189" ht="24" customHeight="1">
      <x:c r="A189" s="2" t="str">
        <x:v>FM000188</x:v>
      </x:c>
      <x:c r="B189" s="15" t="n">
        <x:v>30000</x:v>
      </x:c>
      <x:c r="C189" s="2" t="str">
        <x:v>Ngoại thành</x:v>
      </x:c>
    </x:row>
    <x:row r="190" ht="24" customHeight="1">
      <x:c r="A190" s="2" t="str">
        <x:v>FM000189</x:v>
      </x:c>
      <x:c r="B190" s="15" t="n">
        <x:v>30000</x:v>
      </x:c>
      <x:c r="C190" s="2" t="str">
        <x:v>Ngoại thành</x:v>
      </x:c>
    </x:row>
    <x:row r="191" ht="24" customHeight="1">
      <x:c r="A191" s="2" t="str">
        <x:v>FM000190</x:v>
      </x:c>
      <x:c r="B191" s="15" t="n">
        <x:v>30000</x:v>
      </x:c>
      <x:c r="C191" s="2" t="str">
        <x:v>Ngoại thành</x:v>
      </x:c>
    </x:row>
    <x:row r="192" ht="24" customHeight="1">
      <x:c r="A192" s="2" t="str">
        <x:v>FM000191</x:v>
      </x:c>
      <x:c r="B192" s="15" t="n">
        <x:v>30000</x:v>
      </x:c>
      <x:c r="C192" s="2" t="str">
        <x:v>Ngoại thành</x:v>
      </x:c>
    </x:row>
    <x:row r="193" ht="24" customHeight="1">
      <x:c r="A193" s="2" t="str">
        <x:v>FM000192</x:v>
      </x:c>
      <x:c r="B193" s="15" t="n">
        <x:v>30000</x:v>
      </x:c>
      <x:c r="C193" s="2" t="str">
        <x:v>Ngoại thành</x:v>
      </x:c>
    </x:row>
    <x:row r="194" ht="24" customHeight="1">
      <x:c r="A194" s="2" t="str">
        <x:v>FM000193</x:v>
      </x:c>
      <x:c r="B194" s="15" t="n">
        <x:v>30000</x:v>
      </x:c>
      <x:c r="C194" s="2" t="str">
        <x:v>Ngoại thành</x:v>
      </x:c>
    </x:row>
    <x:row r="195" ht="24" customHeight="1">
      <x:c r="A195" s="2" t="str">
        <x:v>FM000194</x:v>
      </x:c>
      <x:c r="B195" s="15" t="n">
        <x:v>30000</x:v>
      </x:c>
      <x:c r="C195" s="2" t="str">
        <x:v>Ngoại thành</x:v>
      </x:c>
    </x:row>
    <x:row r="196" ht="24" customHeight="1">
      <x:c r="A196" s="2" t="str">
        <x:v>FM000195</x:v>
      </x:c>
      <x:c r="B196" s="15" t="n">
        <x:v>30000</x:v>
      </x:c>
      <x:c r="C196" s="2" t="str">
        <x:v>Ngoại thành</x:v>
      </x:c>
    </x:row>
    <x:row r="197" ht="24" customHeight="1">
      <x:c r="A197" s="2" t="str">
        <x:v>FM000196</x:v>
      </x:c>
      <x:c r="B197" s="15" t="n">
        <x:v>30000</x:v>
      </x:c>
      <x:c r="C197" s="2" t="str">
        <x:v>Ngoại thành</x:v>
      </x:c>
    </x:row>
    <x:row r="198" ht="24" customHeight="1">
      <x:c r="A198" s="2" t="str">
        <x:v>FM000197</x:v>
      </x:c>
      <x:c r="B198" s="15" t="n">
        <x:v>30000</x:v>
      </x:c>
      <x:c r="C198" s="2" t="str">
        <x:v>Ngoại thành</x:v>
      </x:c>
    </x:row>
    <x:row r="199" ht="24" customHeight="1">
      <x:c r="A199" s="2" t="str">
        <x:v>FM000198</x:v>
      </x:c>
      <x:c r="B199" s="15" t="n">
        <x:v>30000</x:v>
      </x:c>
      <x:c r="C199" s="2" t="str">
        <x:v>Ngoại thành</x:v>
      </x:c>
    </x:row>
    <x:row r="200" ht="24" customHeight="1">
      <x:c r="A200" s="2" t="str">
        <x:v>FM000199</x:v>
      </x:c>
      <x:c r="B200" s="15" t="n">
        <x:v>30000</x:v>
      </x:c>
      <x:c r="C200" s="2" t="str">
        <x:v>Ngoại thành</x:v>
      </x:c>
    </x:row>
    <x:row r="201" ht="24" customHeight="1">
      <x:c r="A201" s="2" t="str">
        <x:v>FM000200</x:v>
      </x:c>
      <x:c r="B201" s="15" t="n">
        <x:v>30000</x:v>
      </x:c>
      <x:c r="C201" s="2" t="str">
        <x:v>Ngoại thành</x:v>
      </x:c>
    </x:row>
    <x:row r="202" ht="24" customHeight="1">
      <x:c r="A202" s="2" t="str">
        <x:v>FM000201</x:v>
      </x:c>
      <x:c r="B202" s="15" t="n">
        <x:v>30000</x:v>
      </x:c>
      <x:c r="C202" s="2" t="str">
        <x:v>Ngoại thành</x:v>
      </x:c>
    </x:row>
    <x:row r="203" ht="24" customHeight="1">
      <x:c r="A203" s="2" t="str">
        <x:v>FM000202</x:v>
      </x:c>
      <x:c r="B203" s="15" t="n">
        <x:v>30000</x:v>
      </x:c>
      <x:c r="C203" s="2" t="str">
        <x:v>Ngoại thành</x:v>
      </x:c>
    </x:row>
    <x:row r="204" ht="24" customHeight="1">
      <x:c r="A204" s="2" t="str">
        <x:v>FM000203</x:v>
      </x:c>
      <x:c r="B204" s="15" t="n">
        <x:v>30000</x:v>
      </x:c>
      <x:c r="C204" s="2" t="str">
        <x:v>Ngoại thành</x:v>
      </x:c>
    </x:row>
    <x:row r="205" ht="24" customHeight="1">
      <x:c r="A205" s="2" t="str">
        <x:v>FM000204</x:v>
      </x:c>
      <x:c r="B205" s="15" t="n">
        <x:v>30000</x:v>
      </x:c>
      <x:c r="C205" s="2" t="str">
        <x:v>Ngoại thành</x:v>
      </x:c>
    </x:row>
    <x:row r="206" ht="24" customHeight="1">
      <x:c r="A206" s="2" t="str">
        <x:v>FM000205</x:v>
      </x:c>
      <x:c r="B206" s="15" t="n">
        <x:v>30000</x:v>
      </x:c>
      <x:c r="C206" s="2" t="str">
        <x:v>Ngoại thành</x:v>
      </x:c>
    </x:row>
    <x:row r="207" ht="24" customHeight="1">
      <x:c r="A207" s="2" t="str">
        <x:v>FM000206</x:v>
      </x:c>
      <x:c r="B207" s="15" t="n">
        <x:v>30000</x:v>
      </x:c>
      <x:c r="C207" s="2" t="str">
        <x:v>Ngoại thành</x:v>
      </x:c>
    </x:row>
    <x:row r="208" ht="24" customHeight="1">
      <x:c r="A208" s="2" t="str">
        <x:v>FM000207</x:v>
      </x:c>
      <x:c r="B208" s="15" t="n">
        <x:v>30000</x:v>
      </x:c>
      <x:c r="C208" s="2" t="str">
        <x:v>Ngoại thành</x:v>
      </x:c>
    </x:row>
    <x:row r="209" ht="24" customHeight="1">
      <x:c r="A209" s="2" t="str">
        <x:v>FM000208</x:v>
      </x:c>
      <x:c r="B209" s="15" t="n">
        <x:v>30000</x:v>
      </x:c>
      <x:c r="C209" s="2" t="str">
        <x:v>Ngoại thành</x:v>
      </x:c>
    </x:row>
    <x:row r="210" ht="24" customHeight="1">
      <x:c r="A210" s="2" t="str">
        <x:v>FM000209</x:v>
      </x:c>
      <x:c r="B210" s="15" t="n">
        <x:v>30000</x:v>
      </x:c>
      <x:c r="C210" s="2" t="str">
        <x:v>Ngoại thành</x:v>
      </x:c>
    </x:row>
    <x:row r="211" ht="24" customHeight="1">
      <x:c r="A211" s="2" t="str">
        <x:v>FM000210</x:v>
      </x:c>
      <x:c r="B211" s="15" t="n">
        <x:v>30000</x:v>
      </x:c>
      <x:c r="C211" s="2" t="str">
        <x:v>Ngoại thành</x:v>
      </x:c>
    </x:row>
    <x:row r="212" ht="24" customHeight="1">
      <x:c r="A212" s="2" t="str">
        <x:v>FM000211</x:v>
      </x:c>
      <x:c r="B212" s="15" t="n">
        <x:v>30000</x:v>
      </x:c>
      <x:c r="C212" s="2" t="str">
        <x:v>Ngoại thành</x:v>
      </x:c>
    </x:row>
    <x:row r="213" ht="24" customHeight="1">
      <x:c r="A213" s="2" t="str">
        <x:v>FM000212</x:v>
      </x:c>
      <x:c r="B213" s="15" t="n">
        <x:v>30000</x:v>
      </x:c>
      <x:c r="C213" s="2" t="str">
        <x:v>Ngoại thành</x:v>
      </x:c>
    </x:row>
    <x:row r="214" ht="24" customHeight="1">
      <x:c r="A214" s="2" t="str">
        <x:v>FM000213</x:v>
      </x:c>
      <x:c r="B214" s="15" t="n">
        <x:v>30000</x:v>
      </x:c>
      <x:c r="C214" s="2" t="str">
        <x:v>Ngoại thành</x:v>
      </x:c>
    </x:row>
    <x:row r="215" ht="24" customHeight="1">
      <x:c r="A215" s="2" t="str">
        <x:v>FM000214</x:v>
      </x:c>
      <x:c r="B215" s="15" t="n">
        <x:v>30000</x:v>
      </x:c>
      <x:c r="C215" s="2" t="str">
        <x:v>Ngoại thành</x:v>
      </x:c>
    </x:row>
    <x:row r="216" ht="24" customHeight="1">
      <x:c r="A216" s="2" t="str">
        <x:v>FM000215</x:v>
      </x:c>
      <x:c r="B216" s="15" t="n">
        <x:v>30000</x:v>
      </x:c>
      <x:c r="C216" s="2" t="str">
        <x:v>Ngoại thành</x:v>
      </x:c>
    </x:row>
    <x:row r="217" ht="24" customHeight="1">
      <x:c r="A217" s="2" t="str">
        <x:v>FM000216</x:v>
      </x:c>
      <x:c r="B217" s="15" t="n">
        <x:v>30000</x:v>
      </x:c>
      <x:c r="C217" s="2" t="str">
        <x:v>Ngoại thành</x:v>
      </x:c>
    </x:row>
    <x:row r="218" ht="24" customHeight="1">
      <x:c r="A218" s="2" t="str">
        <x:v>FM000217</x:v>
      </x:c>
      <x:c r="B218" s="15" t="n">
        <x:v>30000</x:v>
      </x:c>
      <x:c r="C218" s="2" t="str">
        <x:v>Ngoại thành</x:v>
      </x:c>
    </x:row>
    <x:row r="219" ht="24" customHeight="1">
      <x:c r="A219" s="2" t="str">
        <x:v>FM000218</x:v>
      </x:c>
      <x:c r="B219" s="15" t="n">
        <x:v>30000</x:v>
      </x:c>
      <x:c r="C219" s="2" t="str">
        <x:v>Ngoại thành</x:v>
      </x:c>
    </x:row>
    <x:row r="220" ht="24" customHeight="1">
      <x:c r="A220" s="2" t="str">
        <x:v>FM000219</x:v>
      </x:c>
      <x:c r="B220" s="15" t="n">
        <x:v>30000</x:v>
      </x:c>
      <x:c r="C220" s="2" t="str">
        <x:v>Ngoại thành</x:v>
      </x:c>
    </x:row>
    <x:row r="221" ht="24" customHeight="1">
      <x:c r="A221" s="2" t="str">
        <x:v>FM000220</x:v>
      </x:c>
      <x:c r="B221" s="15" t="n">
        <x:v>30000</x:v>
      </x:c>
      <x:c r="C221" s="2" t="str">
        <x:v>Ngoại thành</x:v>
      </x:c>
    </x:row>
    <x:row r="222" ht="24" customHeight="1">
      <x:c r="A222" s="2" t="str">
        <x:v>FM000221</x:v>
      </x:c>
      <x:c r="B222" s="15" t="n">
        <x:v>30000</x:v>
      </x:c>
      <x:c r="C222" s="2" t="str">
        <x:v>Ngoại thành</x:v>
      </x:c>
    </x:row>
    <x:row r="223" ht="24" customHeight="1">
      <x:c r="A223" s="2" t="str">
        <x:v>FM000222</x:v>
      </x:c>
      <x:c r="B223" s="15" t="n">
        <x:v>30000</x:v>
      </x:c>
      <x:c r="C223" s="2" t="str">
        <x:v>Ngoại thành</x:v>
      </x:c>
    </x:row>
    <x:row r="224" ht="24" customHeight="1">
      <x:c r="A224" s="2" t="str">
        <x:v>FM000223</x:v>
      </x:c>
      <x:c r="B224" s="15" t="n">
        <x:v>30000</x:v>
      </x:c>
      <x:c r="C224" s="2" t="str">
        <x:v>Ngoại thành</x:v>
      </x:c>
    </x:row>
    <x:row r="225" ht="24" customHeight="1">
      <x:c r="A225" s="2" t="str">
        <x:v>FM000224</x:v>
      </x:c>
      <x:c r="B225" s="15" t="n">
        <x:v>30000</x:v>
      </x:c>
      <x:c r="C225" s="2" t="str">
        <x:v>Ngoại thành</x:v>
      </x:c>
    </x:row>
    <x:row r="226" ht="24" customHeight="1">
      <x:c r="A226" s="2" t="str">
        <x:v>FM000225</x:v>
      </x:c>
      <x:c r="B226" s="15" t="n">
        <x:v>30000</x:v>
      </x:c>
      <x:c r="C226" s="2" t="str">
        <x:v>Ngoại thành</x:v>
      </x:c>
    </x:row>
    <x:row r="227" ht="24" customHeight="1">
      <x:c r="A227" s="2" t="str">
        <x:v>FM000226</x:v>
      </x:c>
      <x:c r="B227" s="15" t="n">
        <x:v>30000</x:v>
      </x:c>
      <x:c r="C227" s="2" t="str">
        <x:v>Ngoại thành</x:v>
      </x:c>
    </x:row>
    <x:row r="228" ht="24" customHeight="1">
      <x:c r="A228" s="2" t="str">
        <x:v>FM000227</x:v>
      </x:c>
      <x:c r="B228" s="15" t="n">
        <x:v>30000</x:v>
      </x:c>
      <x:c r="C228" s="2" t="str">
        <x:v>Ngoại thành</x:v>
      </x:c>
    </x:row>
    <x:row r="229" ht="24" customHeight="1">
      <x:c r="A229" s="2" t="str">
        <x:v>FM000228</x:v>
      </x:c>
      <x:c r="B229" s="15" t="n">
        <x:v>30000</x:v>
      </x:c>
      <x:c r="C229" s="2" t="str">
        <x:v>Ngoại thành</x:v>
      </x:c>
    </x:row>
    <x:row r="230" ht="24" customHeight="1">
      <x:c r="A230" s="2" t="str">
        <x:v>FM000229</x:v>
      </x:c>
      <x:c r="B230" s="15" t="n">
        <x:v>30000</x:v>
      </x:c>
      <x:c r="C230" s="2" t="str">
        <x:v>Ngoại thành</x:v>
      </x:c>
    </x:row>
    <x:row r="231" ht="24" customHeight="1">
      <x:c r="A231" s="2" t="str">
        <x:v>FM000230</x:v>
      </x:c>
      <x:c r="B231" s="15" t="n">
        <x:v>30000</x:v>
      </x:c>
      <x:c r="C231" s="2" t="str">
        <x:v>Ngoại thành</x:v>
      </x:c>
    </x:row>
    <x:row r="232" ht="24" customHeight="1">
      <x:c r="A232" s="2" t="str">
        <x:v>FM000231</x:v>
      </x:c>
      <x:c r="B232" s="15" t="n">
        <x:v>30000</x:v>
      </x:c>
      <x:c r="C232" s="2" t="str">
        <x:v>Ngoại thành</x:v>
      </x:c>
    </x:row>
    <x:row r="233" ht="24" customHeight="1">
      <x:c r="A233" s="2" t="str">
        <x:v>FM000232</x:v>
      </x:c>
      <x:c r="B233" s="15" t="n">
        <x:v>30000</x:v>
      </x:c>
      <x:c r="C233" s="2" t="str">
        <x:v>Ngoại thành</x:v>
      </x:c>
    </x:row>
    <x:row r="234" ht="24" customHeight="1">
      <x:c r="A234" s="2" t="str">
        <x:v>FM000233</x:v>
      </x:c>
      <x:c r="B234" s="15" t="n">
        <x:v>30000</x:v>
      </x:c>
      <x:c r="C234" s="2" t="str">
        <x:v>Ngoại thành</x:v>
      </x:c>
    </x:row>
    <x:row r="235" ht="24" customHeight="1">
      <x:c r="A235" s="2" t="str">
        <x:v>FM000234</x:v>
      </x:c>
      <x:c r="B235" s="15" t="n">
        <x:v>30000</x:v>
      </x:c>
      <x:c r="C235" s="2" t="str">
        <x:v>Ngoại thành</x:v>
      </x:c>
    </x:row>
    <x:row r="236" ht="24" customHeight="1">
      <x:c r="A236" s="2" t="str">
        <x:v>FM000235</x:v>
      </x:c>
      <x:c r="B236" s="15" t="n">
        <x:v>30000</x:v>
      </x:c>
      <x:c r="C236" s="2" t="str">
        <x:v>Ngoại thành</x:v>
      </x:c>
    </x:row>
    <x:row r="237" ht="24" customHeight="1">
      <x:c r="A237" s="2" t="str">
        <x:v>FM000236</x:v>
      </x:c>
      <x:c r="B237" s="15" t="n">
        <x:v>30000</x:v>
      </x:c>
      <x:c r="C237" s="2" t="str">
        <x:v>Ngoại thành</x:v>
      </x:c>
    </x:row>
    <x:row r="238" ht="24" customHeight="1">
      <x:c r="A238" s="2" t="str">
        <x:v>FM000237</x:v>
      </x:c>
      <x:c r="B238" s="15" t="n">
        <x:v>30000</x:v>
      </x:c>
      <x:c r="C238" s="2" t="str">
        <x:v>Ngoại thành</x:v>
      </x:c>
    </x:row>
    <x:row r="239" ht="24" customHeight="1">
      <x:c r="A239" s="2" t="str">
        <x:v>FM000238</x:v>
      </x:c>
      <x:c r="B239" s="15" t="n">
        <x:v>30000</x:v>
      </x:c>
      <x:c r="C239" s="2" t="str">
        <x:v>Ngoại thành</x:v>
      </x:c>
    </x:row>
    <x:row r="240" ht="24" customHeight="1">
      <x:c r="A240" s="2" t="str">
        <x:v>FM000239</x:v>
      </x:c>
      <x:c r="B240" s="15" t="n">
        <x:v>30000</x:v>
      </x:c>
      <x:c r="C240" s="2" t="str">
        <x:v>Ngoại thành</x:v>
      </x:c>
    </x:row>
    <x:row r="241" ht="24" customHeight="1">
      <x:c r="A241" s="2" t="str">
        <x:v>FM000240</x:v>
      </x:c>
      <x:c r="B241" s="15" t="n">
        <x:v>30000</x:v>
      </x:c>
      <x:c r="C241" s="2" t="str">
        <x:v>Ngoại thành</x:v>
      </x:c>
    </x:row>
    <x:row r="242" ht="24" customHeight="1">
      <x:c r="A242" s="2" t="str">
        <x:v>FM000241</x:v>
      </x:c>
      <x:c r="B242" s="15" t="n">
        <x:v>30000</x:v>
      </x:c>
      <x:c r="C242" s="2" t="str">
        <x:v>Ngoại thành</x:v>
      </x:c>
    </x:row>
    <x:row r="243" ht="24" customHeight="1">
      <x:c r="A243" s="2" t="str">
        <x:v>FM000242</x:v>
      </x:c>
      <x:c r="B243" s="15" t="n">
        <x:v>30000</x:v>
      </x:c>
      <x:c r="C243" s="2" t="str">
        <x:v>Ngoại thành</x:v>
      </x:c>
    </x:row>
    <x:row r="244" ht="24" customHeight="1">
      <x:c r="A244" s="2" t="str">
        <x:v>FM000243</x:v>
      </x:c>
      <x:c r="B244" s="15" t="n">
        <x:v>30000</x:v>
      </x:c>
      <x:c r="C244" s="2" t="str">
        <x:v>Ngoại thành</x:v>
      </x:c>
    </x:row>
    <x:row r="245" ht="24" customHeight="1">
      <x:c r="A245" s="2" t="str">
        <x:v>FM000244</x:v>
      </x:c>
      <x:c r="B245" s="15" t="n">
        <x:v>30000</x:v>
      </x:c>
      <x:c r="C245" s="2" t="str">
        <x:v>Ngoại thành</x:v>
      </x:c>
    </x:row>
    <x:row r="246" ht="24" customHeight="1">
      <x:c r="A246" s="2" t="str">
        <x:v>FM000245</x:v>
      </x:c>
      <x:c r="B246" s="15" t="n">
        <x:v>30000</x:v>
      </x:c>
      <x:c r="C246" s="2" t="str">
        <x:v>Ngoại thành</x:v>
      </x:c>
    </x:row>
    <x:row r="247" ht="24" customHeight="1">
      <x:c r="A247" s="2" t="str">
        <x:v>FM000246</x:v>
      </x:c>
      <x:c r="B247" s="15" t="n">
        <x:v>30000</x:v>
      </x:c>
      <x:c r="C247" s="2" t="str">
        <x:v>Ngoại thành</x:v>
      </x:c>
    </x:row>
    <x:row r="248" ht="24" customHeight="1">
      <x:c r="A248" s="2" t="str">
        <x:v>FM000247</x:v>
      </x:c>
      <x:c r="B248" s="15" t="n">
        <x:v>30000</x:v>
      </x:c>
      <x:c r="C248" s="2" t="str">
        <x:v>Ngoại thành</x:v>
      </x:c>
    </x:row>
    <x:row r="249" ht="24" customHeight="1">
      <x:c r="A249" s="2" t="str">
        <x:v>FM000248</x:v>
      </x:c>
      <x:c r="B249" s="15" t="n">
        <x:v>30000</x:v>
      </x:c>
      <x:c r="C249" s="2" t="str">
        <x:v>Ngoại thành</x:v>
      </x:c>
    </x:row>
    <x:row r="250" ht="24" customHeight="1">
      <x:c r="A250" s="2" t="str">
        <x:v>FM000249</x:v>
      </x:c>
      <x:c r="B250" s="15" t="n">
        <x:v>30000</x:v>
      </x:c>
      <x:c r="C250" s="2" t="str">
        <x:v>Ngoại thành</x:v>
      </x:c>
    </x:row>
    <x:row r="251" ht="24" customHeight="1">
      <x:c r="A251" s="2" t="str">
        <x:v>FM000250</x:v>
      </x:c>
      <x:c r="B251" s="15" t="n">
        <x:v>30000</x:v>
      </x:c>
      <x:c r="C251" s="2" t="str">
        <x:v>Ngoại thành</x:v>
      </x:c>
    </x:row>
    <x:row r="252" ht="24" customHeight="1">
      <x:c r="A252" s="2" t="str">
        <x:v>FM000251</x:v>
      </x:c>
      <x:c r="B252" s="15" t="n">
        <x:v>45000</x:v>
      </x:c>
      <x:c r="C252" s="2" t="str">
        <x:v>Liên tỉnh</x:v>
      </x:c>
    </x:row>
    <x:row r="253" ht="24" customHeight="1">
      <x:c r="A253" s="2" t="str">
        <x:v>FM000252</x:v>
      </x:c>
      <x:c r="B253" s="15" t="n">
        <x:v>45000</x:v>
      </x:c>
      <x:c r="C253" s="2" t="str">
        <x:v>Liên tỉnh</x:v>
      </x:c>
    </x:row>
    <x:row r="254" ht="24" customHeight="1">
      <x:c r="A254" s="2" t="str">
        <x:v>FM000253</x:v>
      </x:c>
      <x:c r="B254" s="15" t="n">
        <x:v>45000</x:v>
      </x:c>
      <x:c r="C254" s="2" t="str">
        <x:v>Liên tỉnh</x:v>
      </x:c>
    </x:row>
    <x:row r="255" ht="24" customHeight="1">
      <x:c r="A255" s="2" t="str">
        <x:v>FM000254</x:v>
      </x:c>
      <x:c r="B255" s="15" t="n">
        <x:v>45000</x:v>
      </x:c>
      <x:c r="C255" s="2" t="str">
        <x:v>Liên tỉnh</x:v>
      </x:c>
    </x:row>
    <x:row r="256" ht="24" customHeight="1">
      <x:c r="A256" s="2" t="str">
        <x:v>FM000255</x:v>
      </x:c>
      <x:c r="B256" s="15" t="n">
        <x:v>45000</x:v>
      </x:c>
      <x:c r="C256" s="2" t="str">
        <x:v>Liên tỉnh</x:v>
      </x:c>
    </x:row>
    <x:row r="257" ht="24" customHeight="1">
      <x:c r="A257" s="2" t="str">
        <x:v>FM000256</x:v>
      </x:c>
      <x:c r="B257" s="15" t="n">
        <x:v>45000</x:v>
      </x:c>
      <x:c r="C257" s="2" t="str">
        <x:v>Liên tỉnh</x:v>
      </x:c>
    </x:row>
    <x:row r="258" ht="24" customHeight="1">
      <x:c r="A258" s="2" t="str">
        <x:v>FM000257</x:v>
      </x:c>
      <x:c r="B258" s="15" t="n">
        <x:v>45000</x:v>
      </x:c>
      <x:c r="C258" s="2" t="str">
        <x:v>Liên tỉnh</x:v>
      </x:c>
    </x:row>
    <x:row r="259" ht="24" customHeight="1">
      <x:c r="A259" s="2" t="str">
        <x:v>FM000258</x:v>
      </x:c>
      <x:c r="B259" s="15" t="n">
        <x:v>45000</x:v>
      </x:c>
      <x:c r="C259" s="2" t="str">
        <x:v>Liên tỉnh</x:v>
      </x:c>
    </x:row>
    <x:row r="260" ht="24" customHeight="1">
      <x:c r="A260" s="2" t="str">
        <x:v>FM000259</x:v>
      </x:c>
      <x:c r="B260" s="15" t="n">
        <x:v>45000</x:v>
      </x:c>
      <x:c r="C260" s="2" t="str">
        <x:v>Liên tỉnh</x:v>
      </x:c>
    </x:row>
    <x:row r="261" ht="24" customHeight="1">
      <x:c r="A261" s="2" t="str">
        <x:v>FM000260</x:v>
      </x:c>
      <x:c r="B261" s="15" t="n">
        <x:v>45000</x:v>
      </x:c>
      <x:c r="C261" s="2" t="str">
        <x:v>Liên tỉnh</x:v>
      </x:c>
    </x:row>
    <x:row r="262" ht="24" customHeight="1">
      <x:c r="A262" s="2" t="str">
        <x:v>FM000261</x:v>
      </x:c>
      <x:c r="B262" s="15" t="n">
        <x:v>45000</x:v>
      </x:c>
      <x:c r="C262" s="2" t="str">
        <x:v>Liên tỉnh</x:v>
      </x:c>
    </x:row>
    <x:row r="263" ht="24" customHeight="1">
      <x:c r="A263" s="2" t="str">
        <x:v>FM000262</x:v>
      </x:c>
      <x:c r="B263" s="15" t="n">
        <x:v>45000</x:v>
      </x:c>
      <x:c r="C263" s="2" t="str">
        <x:v>Liên tỉnh</x:v>
      </x:c>
    </x:row>
    <x:row r="264" ht="24" customHeight="1">
      <x:c r="A264" s="2" t="str">
        <x:v>FM000263</x:v>
      </x:c>
      <x:c r="B264" s="15" t="n">
        <x:v>45000</x:v>
      </x:c>
      <x:c r="C264" s="2" t="str">
        <x:v>Liên tỉnh</x:v>
      </x:c>
    </x:row>
    <x:row r="265" ht="24" customHeight="1">
      <x:c r="A265" s="2" t="str">
        <x:v>FM000264</x:v>
      </x:c>
      <x:c r="B265" s="15" t="n">
        <x:v>45000</x:v>
      </x:c>
      <x:c r="C265" s="2" t="str">
        <x:v>Liên tỉnh</x:v>
      </x:c>
    </x:row>
    <x:row r="266" ht="24" customHeight="1">
      <x:c r="A266" s="2" t="str">
        <x:v>FM000265</x:v>
      </x:c>
      <x:c r="B266" s="15" t="n">
        <x:v>45000</x:v>
      </x:c>
      <x:c r="C266" s="2" t="str">
        <x:v>Liên tỉnh</x:v>
      </x:c>
    </x:row>
    <x:row r="267" ht="24" customHeight="1">
      <x:c r="A267" s="2" t="str">
        <x:v>FM000266</x:v>
      </x:c>
      <x:c r="B267" s="15" t="n">
        <x:v>45000</x:v>
      </x:c>
      <x:c r="C267" s="2" t="str">
        <x:v>Liên tỉnh</x:v>
      </x:c>
    </x:row>
    <x:row r="268" ht="24" customHeight="1">
      <x:c r="A268" s="2" t="str">
        <x:v>FM000267</x:v>
      </x:c>
      <x:c r="B268" s="15" t="n">
        <x:v>45000</x:v>
      </x:c>
      <x:c r="C268" s="2" t="str">
        <x:v>Liên tỉnh</x:v>
      </x:c>
    </x:row>
    <x:row r="269" ht="24" customHeight="1">
      <x:c r="A269" s="2" t="str">
        <x:v>FM000268</x:v>
      </x:c>
      <x:c r="B269" s="15" t="n">
        <x:v>45000</x:v>
      </x:c>
      <x:c r="C269" s="2" t="str">
        <x:v>Liên tỉnh</x:v>
      </x:c>
    </x:row>
    <x:row r="270" ht="24" customHeight="1">
      <x:c r="A270" s="2" t="str">
        <x:v>FM000269</x:v>
      </x:c>
      <x:c r="B270" s="15" t="n">
        <x:v>45000</x:v>
      </x:c>
      <x:c r="C270" s="2" t="str">
        <x:v>Liên tỉnh</x:v>
      </x:c>
    </x:row>
    <x:row r="271" ht="24" customHeight="1">
      <x:c r="A271" s="2" t="str">
        <x:v>FM000270</x:v>
      </x:c>
      <x:c r="B271" s="15" t="n">
        <x:v>45000</x:v>
      </x:c>
      <x:c r="C271" s="2" t="str">
        <x:v>Liên tỉnh</x:v>
      </x:c>
    </x:row>
    <x:row r="272" ht="24" customHeight="1">
      <x:c r="A272" s="2" t="str">
        <x:v>FM000271</x:v>
      </x:c>
      <x:c r="B272" s="15" t="n">
        <x:v>45000</x:v>
      </x:c>
      <x:c r="C272" s="2" t="str">
        <x:v>Liên tỉnh</x:v>
      </x:c>
    </x:row>
    <x:row r="273" ht="24" customHeight="1">
      <x:c r="A273" s="2" t="str">
        <x:v>FM000272</x:v>
      </x:c>
      <x:c r="B273" s="15" t="n">
        <x:v>45000</x:v>
      </x:c>
      <x:c r="C273" s="2" t="str">
        <x:v>Liên tỉnh</x:v>
      </x:c>
    </x:row>
    <x:row r="274" ht="24" customHeight="1">
      <x:c r="A274" s="2" t="str">
        <x:v>FM000273</x:v>
      </x:c>
      <x:c r="B274" s="15" t="n">
        <x:v>45000</x:v>
      </x:c>
      <x:c r="C274" s="2" t="str">
        <x:v>Liên tỉnh</x:v>
      </x:c>
    </x:row>
    <x:row r="275" ht="24" customHeight="1">
      <x:c r="A275" s="2" t="str">
        <x:v>FM000274</x:v>
      </x:c>
      <x:c r="B275" s="15" t="n">
        <x:v>45000</x:v>
      </x:c>
      <x:c r="C275" s="2" t="str">
        <x:v>Liên tỉnh</x:v>
      </x:c>
    </x:row>
    <x:row r="276" ht="24" customHeight="1">
      <x:c r="A276" s="2" t="str">
        <x:v>FM000275</x:v>
      </x:c>
      <x:c r="B276" s="15" t="n">
        <x:v>45000</x:v>
      </x:c>
      <x:c r="C276" s="2" t="str">
        <x:v>Liên tỉnh</x:v>
      </x:c>
    </x:row>
    <x:row r="277" ht="24" customHeight="1">
      <x:c r="A277" s="2" t="str">
        <x:v>FM000276</x:v>
      </x:c>
      <x:c r="B277" s="15" t="n">
        <x:v>45000</x:v>
      </x:c>
      <x:c r="C277" s="2" t="str">
        <x:v>Liên tỉnh</x:v>
      </x:c>
    </x:row>
    <x:row r="278" ht="24" customHeight="1">
      <x:c r="A278" s="2" t="str">
        <x:v>FM000277</x:v>
      </x:c>
      <x:c r="B278" s="15" t="n">
        <x:v>45000</x:v>
      </x:c>
      <x:c r="C278" s="2" t="str">
        <x:v>Liên tỉnh</x:v>
      </x:c>
    </x:row>
    <x:row r="279" ht="24" customHeight="1">
      <x:c r="A279" s="2" t="str">
        <x:v>FM000278</x:v>
      </x:c>
      <x:c r="B279" s="15" t="n">
        <x:v>45000</x:v>
      </x:c>
      <x:c r="C279" s="2" t="str">
        <x:v>Liên tỉnh</x:v>
      </x:c>
    </x:row>
    <x:row r="280" ht="24" customHeight="1">
      <x:c r="A280" s="2" t="str">
        <x:v>FM000279</x:v>
      </x:c>
      <x:c r="B280" s="15" t="n">
        <x:v>45000</x:v>
      </x:c>
      <x:c r="C280" s="2" t="str">
        <x:v>Liên tỉnh</x:v>
      </x:c>
    </x:row>
    <x:row r="281" ht="24" customHeight="1">
      <x:c r="A281" s="2" t="str">
        <x:v>FM000280</x:v>
      </x:c>
      <x:c r="B281" s="15" t="n">
        <x:v>45000</x:v>
      </x:c>
      <x:c r="C281" s="2" t="str">
        <x:v>Liên tỉnh</x:v>
      </x:c>
    </x:row>
    <x:row r="282" ht="24" customHeight="1">
      <x:c r="A282" s="2" t="str">
        <x:v>FM000281</x:v>
      </x:c>
      <x:c r="B282" s="15" t="n">
        <x:v>45000</x:v>
      </x:c>
      <x:c r="C282" s="2" t="str">
        <x:v>Liên tỉnh</x:v>
      </x:c>
    </x:row>
    <x:row r="283" ht="24" customHeight="1">
      <x:c r="A283" s="2" t="str">
        <x:v>FM000282</x:v>
      </x:c>
      <x:c r="B283" s="15" t="n">
        <x:v>45000</x:v>
      </x:c>
      <x:c r="C283" s="2" t="str">
        <x:v>Liên tỉnh</x:v>
      </x:c>
    </x:row>
    <x:row r="284" ht="24" customHeight="1">
      <x:c r="A284" s="2" t="str">
        <x:v>FM000283</x:v>
      </x:c>
      <x:c r="B284" s="15" t="n">
        <x:v>45000</x:v>
      </x:c>
      <x:c r="C284" s="2" t="str">
        <x:v>Liên tỉnh</x:v>
      </x:c>
    </x:row>
    <x:row r="285" ht="24" customHeight="1">
      <x:c r="A285" s="2" t="str">
        <x:v>FM000284</x:v>
      </x:c>
      <x:c r="B285" s="15" t="n">
        <x:v>45000</x:v>
      </x:c>
      <x:c r="C285" s="2" t="str">
        <x:v>Liên tỉnh</x:v>
      </x:c>
    </x:row>
    <x:row r="286" ht="24" customHeight="1">
      <x:c r="A286" s="2" t="str">
        <x:v>FM000285</x:v>
      </x:c>
      <x:c r="B286" s="15" t="n">
        <x:v>45000</x:v>
      </x:c>
      <x:c r="C286" s="2" t="str">
        <x:v>Liên tỉnh</x:v>
      </x:c>
    </x:row>
    <x:row r="287" ht="24" customHeight="1">
      <x:c r="A287" s="2" t="str">
        <x:v>FM000286</x:v>
      </x:c>
      <x:c r="B287" s="15" t="n">
        <x:v>45000</x:v>
      </x:c>
      <x:c r="C287" s="2" t="str">
        <x:v>Liên tỉnh</x:v>
      </x:c>
    </x:row>
    <x:row r="288" ht="24" customHeight="1">
      <x:c r="A288" s="2" t="str">
        <x:v>FM000287</x:v>
      </x:c>
      <x:c r="B288" s="15" t="n">
        <x:v>45000</x:v>
      </x:c>
      <x:c r="C288" s="2" t="str">
        <x:v>Liên tỉnh</x:v>
      </x:c>
    </x:row>
    <x:row r="289" ht="24" customHeight="1">
      <x:c r="A289" s="2" t="str">
        <x:v>FM000288</x:v>
      </x:c>
      <x:c r="B289" s="15" t="n">
        <x:v>45000</x:v>
      </x:c>
      <x:c r="C289" s="2" t="str">
        <x:v>Liên tỉnh</x:v>
      </x:c>
    </x:row>
    <x:row r="290" ht="24" customHeight="1">
      <x:c r="A290" s="2" t="str">
        <x:v>FM000289</x:v>
      </x:c>
      <x:c r="B290" s="15" t="n">
        <x:v>45000</x:v>
      </x:c>
      <x:c r="C290" s="2" t="str">
        <x:v>Liên tỉnh</x:v>
      </x:c>
    </x:row>
    <x:row r="291" ht="24" customHeight="1">
      <x:c r="A291" s="2" t="str">
        <x:v>FM000290</x:v>
      </x:c>
      <x:c r="B291" s="15" t="n">
        <x:v>45000</x:v>
      </x:c>
      <x:c r="C291" s="2" t="str">
        <x:v>Liên tỉnh</x:v>
      </x:c>
    </x:row>
    <x:row r="292" ht="24" customHeight="1">
      <x:c r="A292" s="2" t="str">
        <x:v>FM000291</x:v>
      </x:c>
      <x:c r="B292" s="15" t="n">
        <x:v>45000</x:v>
      </x:c>
      <x:c r="C292" s="2" t="str">
        <x:v>Liên tỉnh</x:v>
      </x:c>
    </x:row>
    <x:row r="293" ht="24" customHeight="1">
      <x:c r="A293" s="2" t="str">
        <x:v>FM000292</x:v>
      </x:c>
      <x:c r="B293" s="15" t="n">
        <x:v>45000</x:v>
      </x:c>
      <x:c r="C293" s="2" t="str">
        <x:v>Liên tỉnh</x:v>
      </x:c>
    </x:row>
    <x:row r="294" ht="24" customHeight="1">
      <x:c r="A294" s="2" t="str">
        <x:v>FM000293</x:v>
      </x:c>
      <x:c r="B294" s="15" t="n">
        <x:v>45000</x:v>
      </x:c>
      <x:c r="C294" s="2" t="str">
        <x:v>Liên tỉnh</x:v>
      </x:c>
    </x:row>
    <x:row r="295" ht="24" customHeight="1">
      <x:c r="A295" s="2" t="str">
        <x:v>FM000294</x:v>
      </x:c>
      <x:c r="B295" s="15" t="n">
        <x:v>45000</x:v>
      </x:c>
      <x:c r="C295" s="2" t="str">
        <x:v>Liên tỉnh</x:v>
      </x:c>
    </x:row>
    <x:row r="296" ht="24" customHeight="1">
      <x:c r="A296" s="2" t="str">
        <x:v>FM000295</x:v>
      </x:c>
      <x:c r="B296" s="15" t="n">
        <x:v>45000</x:v>
      </x:c>
      <x:c r="C296" s="2" t="str">
        <x:v>Liên tỉnh</x:v>
      </x:c>
    </x:row>
    <x:row r="297" ht="24" customHeight="1">
      <x:c r="A297" s="2" t="str">
        <x:v>FM000296</x:v>
      </x:c>
      <x:c r="B297" s="15" t="n">
        <x:v>45000</x:v>
      </x:c>
      <x:c r="C297" s="2" t="str">
        <x:v>Liên tỉnh</x:v>
      </x:c>
    </x:row>
    <x:row r="298" ht="24" customHeight="1">
      <x:c r="A298" s="2" t="str">
        <x:v>FM000297</x:v>
      </x:c>
      <x:c r="B298" s="15" t="n">
        <x:v>45000</x:v>
      </x:c>
      <x:c r="C298" s="2" t="str">
        <x:v>Liên tỉnh</x:v>
      </x:c>
    </x:row>
    <x:row r="299" ht="24" customHeight="1">
      <x:c r="A299" s="2" t="str">
        <x:v>FM000298</x:v>
      </x:c>
      <x:c r="B299" s="15" t="n">
        <x:v>45000</x:v>
      </x:c>
      <x:c r="C299" s="2" t="str">
        <x:v>Liên tỉnh</x:v>
      </x:c>
    </x:row>
    <x:row r="300" ht="24" customHeight="1">
      <x:c r="A300" s="2" t="str">
        <x:v>FM000299</x:v>
      </x:c>
      <x:c r="B300" s="15" t="n">
        <x:v>45000</x:v>
      </x:c>
      <x:c r="C300" s="2" t="str">
        <x:v>Liên tỉnh</x:v>
      </x:c>
    </x:row>
    <x:row r="301" ht="24" customHeight="1">
      <x:c r="A301" s="2" t="str">
        <x:v>FM000300</x:v>
      </x:c>
      <x:c r="B301" s="15" t="n">
        <x:v>45000</x:v>
      </x:c>
      <x:c r="C301" s="2" t="str">
        <x:v>Liên tỉnh</x:v>
      </x:c>
    </x:row>
    <x:row r="302" ht="24" customHeight="1">
      <x:c r="A302" s="2" t="str">
        <x:v>FM000301</x:v>
      </x:c>
      <x:c r="B302" s="15" t="n">
        <x:v>45000</x:v>
      </x:c>
      <x:c r="C302" s="2" t="str">
        <x:v>Liên tỉnh</x:v>
      </x:c>
    </x:row>
    <x:row r="303" ht="24" customHeight="1">
      <x:c r="A303" s="2" t="str">
        <x:v>FM000302</x:v>
      </x:c>
      <x:c r="B303" s="15" t="n">
        <x:v>45000</x:v>
      </x:c>
      <x:c r="C303" s="2" t="str">
        <x:v>Liên tỉnh</x:v>
      </x:c>
    </x:row>
    <x:row r="304" ht="24" customHeight="1">
      <x:c r="A304" s="2" t="str">
        <x:v>FM000303</x:v>
      </x:c>
      <x:c r="B304" s="15" t="n">
        <x:v>45000</x:v>
      </x:c>
      <x:c r="C304" s="2" t="str">
        <x:v>Liên tỉnh</x:v>
      </x:c>
    </x:row>
    <x:row r="305" ht="24" customHeight="1">
      <x:c r="A305" s="2" t="str">
        <x:v>FM000304</x:v>
      </x:c>
      <x:c r="B305" s="15" t="n">
        <x:v>45000</x:v>
      </x:c>
      <x:c r="C305" s="2" t="str">
        <x:v>Liên tỉnh</x:v>
      </x:c>
    </x:row>
    <x:row r="306" ht="24" customHeight="1">
      <x:c r="A306" s="2" t="str">
        <x:v>FM000305</x:v>
      </x:c>
      <x:c r="B306" s="15" t="n">
        <x:v>45000</x:v>
      </x:c>
      <x:c r="C306" s="2" t="str">
        <x:v>Liên tỉnh</x:v>
      </x:c>
    </x:row>
    <x:row r="307" ht="24" customHeight="1">
      <x:c r="A307" s="2" t="str">
        <x:v>FM000306</x:v>
      </x:c>
      <x:c r="B307" s="15" t="n">
        <x:v>45000</x:v>
      </x:c>
      <x:c r="C307" s="2" t="str">
        <x:v>Liên tỉnh</x:v>
      </x:c>
    </x:row>
    <x:row r="308" ht="24" customHeight="1">
      <x:c r="A308" s="2" t="str">
        <x:v>FM000307</x:v>
      </x:c>
      <x:c r="B308" s="15" t="n">
        <x:v>45000</x:v>
      </x:c>
      <x:c r="C308" s="2" t="str">
        <x:v>Liên tỉnh</x:v>
      </x:c>
    </x:row>
    <x:row r="309" ht="24" customHeight="1">
      <x:c r="A309" s="2" t="str">
        <x:v>FM000308</x:v>
      </x:c>
      <x:c r="B309" s="15" t="n">
        <x:v>45000</x:v>
      </x:c>
      <x:c r="C309" s="2" t="str">
        <x:v>Liên tỉnh</x:v>
      </x:c>
    </x:row>
    <x:row r="310" ht="24" customHeight="1">
      <x:c r="A310" s="2" t="str">
        <x:v>FM000309</x:v>
      </x:c>
      <x:c r="B310" s="15" t="n">
        <x:v>45000</x:v>
      </x:c>
      <x:c r="C310" s="2" t="str">
        <x:v>Liên tỉnh</x:v>
      </x:c>
    </x:row>
    <x:row r="311" ht="24" customHeight="1">
      <x:c r="A311" s="2" t="str">
        <x:v>FM000310</x:v>
      </x:c>
      <x:c r="B311" s="15" t="n">
        <x:v>45000</x:v>
      </x:c>
      <x:c r="C311" s="2" t="str">
        <x:v>Liên tỉnh</x:v>
      </x:c>
    </x:row>
    <x:row r="312" ht="24" customHeight="1">
      <x:c r="A312" s="2" t="str">
        <x:v>FM000311</x:v>
      </x:c>
      <x:c r="B312" s="15" t="n">
        <x:v>45000</x:v>
      </x:c>
      <x:c r="C312" s="2" t="str">
        <x:v>Liên tỉnh</x:v>
      </x:c>
    </x:row>
    <x:row r="313" ht="24" customHeight="1">
      <x:c r="A313" s="2" t="str">
        <x:v>FM000312</x:v>
      </x:c>
      <x:c r="B313" s="15" t="n">
        <x:v>45000</x:v>
      </x:c>
      <x:c r="C313" s="2" t="str">
        <x:v>Liên tỉnh</x:v>
      </x:c>
    </x:row>
    <x:row r="314" ht="24" customHeight="1">
      <x:c r="A314" s="2" t="str">
        <x:v>FM000313</x:v>
      </x:c>
      <x:c r="B314" s="15" t="n">
        <x:v>45000</x:v>
      </x:c>
      <x:c r="C314" s="2" t="str">
        <x:v>Liên tỉnh</x:v>
      </x:c>
    </x:row>
    <x:row r="315" ht="24" customHeight="1">
      <x:c r="A315" s="2" t="str">
        <x:v>FM000314</x:v>
      </x:c>
      <x:c r="B315" s="15" t="n">
        <x:v>45000</x:v>
      </x:c>
      <x:c r="C315" s="2" t="str">
        <x:v>Liên tỉnh</x:v>
      </x:c>
    </x:row>
    <x:row r="316" ht="24" customHeight="1">
      <x:c r="A316" s="2" t="str">
        <x:v>FM000315</x:v>
      </x:c>
      <x:c r="B316" s="15" t="n">
        <x:v>45000</x:v>
      </x:c>
      <x:c r="C316" s="2" t="str">
        <x:v>Liên tỉnh</x:v>
      </x:c>
    </x:row>
    <x:row r="317" ht="24" customHeight="1">
      <x:c r="A317" s="2" t="str">
        <x:v>FM000316</x:v>
      </x:c>
      <x:c r="B317" s="15" t="n">
        <x:v>45000</x:v>
      </x:c>
      <x:c r="C317" s="2" t="str">
        <x:v>Liên tỉnh</x:v>
      </x:c>
    </x:row>
    <x:row r="318" ht="24" customHeight="1">
      <x:c r="A318" s="2" t="str">
        <x:v>FM000317</x:v>
      </x:c>
      <x:c r="B318" s="15" t="n">
        <x:v>45000</x:v>
      </x:c>
      <x:c r="C318" s="2" t="str">
        <x:v>Liên tỉnh</x:v>
      </x:c>
    </x:row>
    <x:row r="319" ht="24" customHeight="1">
      <x:c r="A319" s="2" t="str">
        <x:v>FM000318</x:v>
      </x:c>
      <x:c r="B319" s="15" t="n">
        <x:v>45000</x:v>
      </x:c>
      <x:c r="C319" s="2" t="str">
        <x:v>Liên tỉnh</x:v>
      </x:c>
    </x:row>
    <x:row r="320" ht="24" customHeight="1">
      <x:c r="A320" s="2" t="str">
        <x:v>FM000319</x:v>
      </x:c>
      <x:c r="B320" s="15" t="n">
        <x:v>45000</x:v>
      </x:c>
      <x:c r="C320" s="2" t="str">
        <x:v>Liên tỉnh</x:v>
      </x:c>
    </x:row>
    <x:row r="321" ht="24" customHeight="1">
      <x:c r="A321" s="2" t="str">
        <x:v>FM000320</x:v>
      </x:c>
      <x:c r="B321" s="15" t="n">
        <x:v>45000</x:v>
      </x:c>
      <x:c r="C321" s="2" t="str">
        <x:v>Liên tỉnh</x:v>
      </x:c>
    </x:row>
    <x:row r="322" ht="24" customHeight="1">
      <x:c r="A322" s="2" t="str">
        <x:v>FM000321</x:v>
      </x:c>
      <x:c r="B322" s="15" t="n">
        <x:v>45000</x:v>
      </x:c>
      <x:c r="C322" s="2" t="str">
        <x:v>Liên tỉnh</x:v>
      </x:c>
    </x:row>
    <x:row r="323" ht="24" customHeight="1">
      <x:c r="A323" s="2" t="str">
        <x:v>FM000322</x:v>
      </x:c>
      <x:c r="B323" s="15" t="n">
        <x:v>45000</x:v>
      </x:c>
      <x:c r="C323" s="2" t="str">
        <x:v>Liên tỉnh</x:v>
      </x:c>
    </x:row>
    <x:row r="324" ht="24" customHeight="1">
      <x:c r="A324" s="2" t="str">
        <x:v>FM000323</x:v>
      </x:c>
      <x:c r="B324" s="15" t="n">
        <x:v>45000</x:v>
      </x:c>
      <x:c r="C324" s="2" t="str">
        <x:v>Liên tỉnh</x:v>
      </x:c>
    </x:row>
    <x:row r="325" ht="24" customHeight="1">
      <x:c r="A325" s="2" t="str">
        <x:v>FM000324</x:v>
      </x:c>
      <x:c r="B325" s="15" t="n">
        <x:v>45000</x:v>
      </x:c>
      <x:c r="C325" s="2" t="str">
        <x:v>Liên tỉnh</x:v>
      </x:c>
    </x:row>
    <x:row r="326" ht="24" customHeight="1">
      <x:c r="A326" s="2" t="str">
        <x:v>FM000325</x:v>
      </x:c>
      <x:c r="B326" s="15" t="n">
        <x:v>45000</x:v>
      </x:c>
      <x:c r="C326" s="2" t="str">
        <x:v>Liên tỉnh</x:v>
      </x:c>
    </x:row>
    <x:row r="327" ht="24" customHeight="1">
      <x:c r="A327" s="2" t="str">
        <x:v>FM000326</x:v>
      </x:c>
      <x:c r="B327" s="15" t="n">
        <x:v>45000</x:v>
      </x:c>
      <x:c r="C327" s="2" t="str">
        <x:v>Liên tỉnh</x:v>
      </x:c>
    </x:row>
    <x:row r="328" ht="24" customHeight="1">
      <x:c r="A328" s="2" t="str">
        <x:v>FM000327</x:v>
      </x:c>
      <x:c r="B328" s="15" t="n">
        <x:v>45000</x:v>
      </x:c>
      <x:c r="C328" s="2" t="str">
        <x:v>Liên tỉnh</x:v>
      </x:c>
    </x:row>
    <x:row r="329" ht="24" customHeight="1">
      <x:c r="A329" s="2" t="str">
        <x:v>FM000328</x:v>
      </x:c>
      <x:c r="B329" s="15" t="n">
        <x:v>45000</x:v>
      </x:c>
      <x:c r="C329" s="2" t="str">
        <x:v>Liên tỉnh</x:v>
      </x:c>
    </x:row>
    <x:row r="330" ht="24" customHeight="1">
      <x:c r="A330" s="2" t="str">
        <x:v>FM000329</x:v>
      </x:c>
      <x:c r="B330" s="15" t="n">
        <x:v>45000</x:v>
      </x:c>
      <x:c r="C330" s="2" t="str">
        <x:v>Liên tỉnh</x:v>
      </x:c>
    </x:row>
    <x:row r="331" ht="24" customHeight="1">
      <x:c r="A331" s="2" t="str">
        <x:v>FM000330</x:v>
      </x:c>
      <x:c r="B331" s="15" t="n">
        <x:v>45000</x:v>
      </x:c>
      <x:c r="C331" s="2" t="str">
        <x:v>Liên tỉnh</x:v>
      </x:c>
    </x:row>
    <x:row r="332" ht="24" customHeight="1">
      <x:c r="A332" s="2" t="str">
        <x:v>FM000331</x:v>
      </x:c>
      <x:c r="B332" s="15" t="n">
        <x:v>45000</x:v>
      </x:c>
      <x:c r="C332" s="2" t="str">
        <x:v>Liên tỉnh</x:v>
      </x:c>
    </x:row>
    <x:row r="333" ht="24" customHeight="1">
      <x:c r="A333" s="2" t="str">
        <x:v>FM000332</x:v>
      </x:c>
      <x:c r="B333" s="15" t="n">
        <x:v>45000</x:v>
      </x:c>
      <x:c r="C333" s="2" t="str">
        <x:v>Liên tỉnh</x:v>
      </x:c>
    </x:row>
    <x:row r="334" ht="24" customHeight="1">
      <x:c r="A334" s="2" t="str">
        <x:v>FM000333</x:v>
      </x:c>
      <x:c r="B334" s="15" t="n">
        <x:v>45000</x:v>
      </x:c>
      <x:c r="C334" s="2" t="str">
        <x:v>Liên tỉnh</x:v>
      </x:c>
    </x:row>
    <x:row r="335" ht="24" customHeight="1">
      <x:c r="A335" s="2" t="str">
        <x:v>FM000334</x:v>
      </x:c>
      <x:c r="B335" s="15" t="n">
        <x:v>45000</x:v>
      </x:c>
      <x:c r="C335" s="2" t="str">
        <x:v>Liên tỉnh</x:v>
      </x:c>
    </x:row>
    <x:row r="336" ht="24" customHeight="1">
      <x:c r="A336" s="2" t="str">
        <x:v>FM000335</x:v>
      </x:c>
      <x:c r="B336" s="15" t="n">
        <x:v>45000</x:v>
      </x:c>
      <x:c r="C336" s="2" t="str">
        <x:v>Liên tỉnh</x:v>
      </x:c>
    </x:row>
    <x:row r="337" ht="24" customHeight="1">
      <x:c r="A337" s="2" t="str">
        <x:v>FM000336</x:v>
      </x:c>
      <x:c r="B337" s="15" t="n">
        <x:v>45000</x:v>
      </x:c>
      <x:c r="C337" s="2" t="str">
        <x:v>Liên tỉnh</x:v>
      </x:c>
    </x:row>
    <x:row r="338" ht="24" customHeight="1">
      <x:c r="A338" s="2" t="str">
        <x:v>FM000337</x:v>
      </x:c>
      <x:c r="B338" s="15" t="n">
        <x:v>45000</x:v>
      </x:c>
      <x:c r="C338" s="2" t="str">
        <x:v>Liên tỉnh</x:v>
      </x:c>
    </x:row>
    <x:row r="339" ht="24" customHeight="1">
      <x:c r="A339" s="2" t="str">
        <x:v>FM000338</x:v>
      </x:c>
      <x:c r="B339" s="15" t="n">
        <x:v>45000</x:v>
      </x:c>
      <x:c r="C339" s="2" t="str">
        <x:v>Liên tỉnh</x:v>
      </x:c>
    </x:row>
    <x:row r="340" ht="24" customHeight="1">
      <x:c r="A340" s="2" t="str">
        <x:v>FM000339</x:v>
      </x:c>
      <x:c r="B340" s="15" t="n">
        <x:v>45000</x:v>
      </x:c>
      <x:c r="C340" s="2" t="str">
        <x:v>Liên tỉnh</x:v>
      </x:c>
    </x:row>
    <x:row r="341" ht="24" customHeight="1">
      <x:c r="A341" s="2" t="str">
        <x:v>FM000340</x:v>
      </x:c>
      <x:c r="B341" s="15" t="n">
        <x:v>45000</x:v>
      </x:c>
      <x:c r="C341" s="2" t="str">
        <x:v>Liên tỉnh</x:v>
      </x:c>
    </x:row>
    <x:row r="342" ht="24" customHeight="1">
      <x:c r="A342" s="2" t="str">
        <x:v>FM000341</x:v>
      </x:c>
      <x:c r="B342" s="15" t="n">
        <x:v>45000</x:v>
      </x:c>
      <x:c r="C342" s="2" t="str">
        <x:v>Liên tỉnh</x:v>
      </x:c>
    </x:row>
    <x:row r="343" ht="24" customHeight="1">
      <x:c r="A343" s="2" t="str">
        <x:v>FM000342</x:v>
      </x:c>
      <x:c r="B343" s="15" t="n">
        <x:v>45000</x:v>
      </x:c>
      <x:c r="C343" s="2" t="str">
        <x:v>Liên tỉnh</x:v>
      </x:c>
    </x:row>
    <x:row r="344" ht="24" customHeight="1">
      <x:c r="A344" s="2" t="str">
        <x:v>FM000343</x:v>
      </x:c>
      <x:c r="B344" s="15" t="n">
        <x:v>45000</x:v>
      </x:c>
      <x:c r="C344" s="2" t="str">
        <x:v>Liên tỉnh</x:v>
      </x:c>
    </x:row>
    <x:row r="345" ht="24" customHeight="1">
      <x:c r="A345" s="2" t="str">
        <x:v>FM000344</x:v>
      </x:c>
      <x:c r="B345" s="15" t="n">
        <x:v>45000</x:v>
      </x:c>
      <x:c r="C345" s="2" t="str">
        <x:v>Liên tỉnh</x:v>
      </x:c>
    </x:row>
    <x:row r="346" ht="24" customHeight="1">
      <x:c r="A346" s="2" t="str">
        <x:v>FM000345</x:v>
      </x:c>
      <x:c r="B346" s="15" t="n">
        <x:v>45000</x:v>
      </x:c>
      <x:c r="C346" s="2" t="str">
        <x:v>Liên tỉnh</x:v>
      </x:c>
    </x:row>
    <x:row r="347" ht="24" customHeight="1">
      <x:c r="A347" s="2" t="str">
        <x:v>FM000346</x:v>
      </x:c>
      <x:c r="B347" s="15" t="n">
        <x:v>45000</x:v>
      </x:c>
      <x:c r="C347" s="2" t="str">
        <x:v>Liên tỉnh</x:v>
      </x:c>
    </x:row>
    <x:row r="348" ht="24" customHeight="1">
      <x:c r="A348" s="2" t="str">
        <x:v>FM000347</x:v>
      </x:c>
      <x:c r="B348" s="15" t="n">
        <x:v>45000</x:v>
      </x:c>
      <x:c r="C348" s="2" t="str">
        <x:v>Liên tỉnh</x:v>
      </x:c>
    </x:row>
    <x:row r="349" ht="24" customHeight="1">
      <x:c r="A349" s="2" t="str">
        <x:v>FM000348</x:v>
      </x:c>
      <x:c r="B349" s="15" t="n">
        <x:v>45000</x:v>
      </x:c>
      <x:c r="C349" s="2" t="str">
        <x:v>Liên tỉnh</x:v>
      </x:c>
    </x:row>
    <x:row r="350" ht="24" customHeight="1">
      <x:c r="A350" s="2" t="str">
        <x:v>FM000349</x:v>
      </x:c>
      <x:c r="B350" s="15" t="n">
        <x:v>45000</x:v>
      </x:c>
      <x:c r="C350" s="2" t="str">
        <x:v>Liên tỉnh</x:v>
      </x:c>
    </x:row>
    <x:row r="351" ht="24" customHeight="1">
      <x:c r="A351" s="2" t="str">
        <x:v>FM000350</x:v>
      </x:c>
      <x:c r="B351" s="15" t="n">
        <x:v>45000</x:v>
      </x:c>
      <x:c r="C351" s="2" t="str">
        <x:v>Liên tỉnh</x:v>
      </x:c>
    </x:row>
    <x:row r="352" ht="24" customHeight="1">
      <x:c r="A352" s="2" t="str">
        <x:v>FM000351</x:v>
      </x:c>
      <x:c r="B352" s="15" t="n">
        <x:v>45000</x:v>
      </x:c>
      <x:c r="C352" s="2" t="str">
        <x:v>Liên tỉnh</x:v>
      </x:c>
    </x:row>
    <x:row r="353" ht="24" customHeight="1">
      <x:c r="A353" s="2" t="str">
        <x:v>FM000352</x:v>
      </x:c>
      <x:c r="B353" s="15" t="n">
        <x:v>45000</x:v>
      </x:c>
      <x:c r="C353" s="2" t="str">
        <x:v>Liên tỉnh</x:v>
      </x:c>
    </x:row>
    <x:row r="354" ht="24" customHeight="1">
      <x:c r="A354" s="2" t="str">
        <x:v>FM000353</x:v>
      </x:c>
      <x:c r="B354" s="15" t="n">
        <x:v>45000</x:v>
      </x:c>
      <x:c r="C354" s="2" t="str">
        <x:v>Liên tỉnh</x:v>
      </x:c>
    </x:row>
    <x:row r="355" ht="24" customHeight="1">
      <x:c r="A355" s="2" t="str">
        <x:v>FM000354</x:v>
      </x:c>
      <x:c r="B355" s="15" t="n">
        <x:v>45000</x:v>
      </x:c>
      <x:c r="C355" s="2" t="str">
        <x:v>Liên tỉnh</x:v>
      </x:c>
    </x:row>
    <x:row r="356" ht="24" customHeight="1">
      <x:c r="A356" s="2" t="str">
        <x:v>FM000355</x:v>
      </x:c>
      <x:c r="B356" s="15" t="n">
        <x:v>45000</x:v>
      </x:c>
      <x:c r="C356" s="2" t="str">
        <x:v>Liên tỉnh</x:v>
      </x:c>
    </x:row>
    <x:row r="357" ht="24" customHeight="1">
      <x:c r="A357" s="2" t="str">
        <x:v>FM000356</x:v>
      </x:c>
      <x:c r="B357" s="15" t="n">
        <x:v>45000</x:v>
      </x:c>
      <x:c r="C357" s="2" t="str">
        <x:v>Liên tỉnh</x:v>
      </x:c>
    </x:row>
    <x:row r="358" ht="24" customHeight="1">
      <x:c r="A358" s="2" t="str">
        <x:v>FM000357</x:v>
      </x:c>
      <x:c r="B358" s="15" t="n">
        <x:v>45000</x:v>
      </x:c>
      <x:c r="C358" s="2" t="str">
        <x:v>Liên tỉnh</x:v>
      </x:c>
    </x:row>
    <x:row r="359" ht="24" customHeight="1">
      <x:c r="A359" s="2" t="str">
        <x:v>FM000358</x:v>
      </x:c>
      <x:c r="B359" s="15" t="n">
        <x:v>45000</x:v>
      </x:c>
      <x:c r="C359" s="2" t="str">
        <x:v>Liên tỉnh</x:v>
      </x:c>
    </x:row>
    <x:row r="360" ht="24" customHeight="1">
      <x:c r="A360" s="2" t="str">
        <x:v>FM000359</x:v>
      </x:c>
      <x:c r="B360" s="15" t="n">
        <x:v>45000</x:v>
      </x:c>
      <x:c r="C360" s="2" t="str">
        <x:v>Liên tỉnh</x:v>
      </x:c>
    </x:row>
    <x:row r="361" ht="24" customHeight="1">
      <x:c r="A361" s="2" t="str">
        <x:v>FM000360</x:v>
      </x:c>
      <x:c r="B361" s="15" t="n">
        <x:v>45000</x:v>
      </x:c>
      <x:c r="C361" s="2" t="str">
        <x:v>Liên tỉnh</x:v>
      </x:c>
    </x:row>
    <x:row r="362" ht="24" customHeight="1">
      <x:c r="A362" s="2" t="str">
        <x:v>FM000361</x:v>
      </x:c>
      <x:c r="B362" s="15" t="n">
        <x:v>45000</x:v>
      </x:c>
      <x:c r="C362" s="2" t="str">
        <x:v>Liên tỉnh</x:v>
      </x:c>
    </x:row>
    <x:row r="363" ht="24" customHeight="1">
      <x:c r="A363" s="2" t="str">
        <x:v>FM000362</x:v>
      </x:c>
      <x:c r="B363" s="15" t="n">
        <x:v>45000</x:v>
      </x:c>
      <x:c r="C363" s="2" t="str">
        <x:v>Liên tỉnh</x:v>
      </x:c>
    </x:row>
    <x:row r="364" ht="24" customHeight="1">
      <x:c r="A364" s="2" t="str">
        <x:v>FM000363</x:v>
      </x:c>
      <x:c r="B364" s="15" t="n">
        <x:v>45000</x:v>
      </x:c>
      <x:c r="C364" s="2" t="str">
        <x:v>Liên tỉnh</x:v>
      </x:c>
    </x:row>
    <x:row r="365" ht="24" customHeight="1">
      <x:c r="A365" s="2" t="str">
        <x:v>FM000364</x:v>
      </x:c>
      <x:c r="B365" s="15" t="n">
        <x:v>45000</x:v>
      </x:c>
      <x:c r="C365" s="2" t="str">
        <x:v>Liên tỉnh</x:v>
      </x:c>
    </x:row>
    <x:row r="366" ht="24" customHeight="1">
      <x:c r="A366" s="2" t="str">
        <x:v>FM000365</x:v>
      </x:c>
      <x:c r="B366" s="15" t="n">
        <x:v>45000</x:v>
      </x:c>
      <x:c r="C366" s="2" t="str">
        <x:v>Liên tỉnh</x:v>
      </x:c>
    </x:row>
    <x:row r="367" ht="24" customHeight="1">
      <x:c r="A367" s="2" t="str">
        <x:v>FM000366</x:v>
      </x:c>
      <x:c r="B367" s="15" t="n">
        <x:v>45000</x:v>
      </x:c>
      <x:c r="C367" s="2" t="str">
        <x:v>Liên tỉnh</x:v>
      </x:c>
    </x:row>
    <x:row r="368" ht="24" customHeight="1">
      <x:c r="A368" s="2" t="str">
        <x:v>FM000367</x:v>
      </x:c>
      <x:c r="B368" s="15" t="n">
        <x:v>45000</x:v>
      </x:c>
      <x:c r="C368" s="2" t="str">
        <x:v>Liên tỉnh</x:v>
      </x:c>
    </x:row>
    <x:row r="369" ht="24" customHeight="1">
      <x:c r="A369" s="2" t="str">
        <x:v>FM000368</x:v>
      </x:c>
      <x:c r="B369" s="15" t="n">
        <x:v>45000</x:v>
      </x:c>
      <x:c r="C369" s="2" t="str">
        <x:v>Liên tỉnh</x:v>
      </x:c>
    </x:row>
    <x:row r="370" ht="24" customHeight="1">
      <x:c r="A370" s="2" t="str">
        <x:v>FM000369</x:v>
      </x:c>
      <x:c r="B370" s="15" t="n">
        <x:v>45000</x:v>
      </x:c>
      <x:c r="C370" s="2" t="str">
        <x:v>Liên tỉnh</x:v>
      </x:c>
    </x:row>
    <x:row r="371" ht="24" customHeight="1">
      <x:c r="A371" s="2" t="str">
        <x:v>FM000370</x:v>
      </x:c>
      <x:c r="B371" s="15" t="n">
        <x:v>45000</x:v>
      </x:c>
      <x:c r="C371" s="2" t="str">
        <x:v>Liên tỉnh</x:v>
      </x:c>
    </x:row>
    <x:row r="372" ht="24" customHeight="1">
      <x:c r="A372" s="2" t="str">
        <x:v>FM000371</x:v>
      </x:c>
      <x:c r="B372" s="15" t="n">
        <x:v>45000</x:v>
      </x:c>
      <x:c r="C372" s="2" t="str">
        <x:v>Liên tỉnh</x:v>
      </x:c>
    </x:row>
    <x:row r="373" ht="24" customHeight="1">
      <x:c r="A373" s="2" t="str">
        <x:v>FM000372</x:v>
      </x:c>
      <x:c r="B373" s="15" t="n">
        <x:v>45000</x:v>
      </x:c>
      <x:c r="C373" s="2" t="str">
        <x:v>Liên tỉnh</x:v>
      </x:c>
    </x:row>
    <x:row r="374" ht="24" customHeight="1">
      <x:c r="A374" s="2" t="str">
        <x:v>FM000373</x:v>
      </x:c>
      <x:c r="B374" s="15" t="n">
        <x:v>45000</x:v>
      </x:c>
      <x:c r="C374" s="2" t="str">
        <x:v>Liên tỉnh</x:v>
      </x:c>
    </x:row>
    <x:row r="375" ht="24" customHeight="1">
      <x:c r="A375" s="2" t="str">
        <x:v>FM000374</x:v>
      </x:c>
      <x:c r="B375" s="15" t="n">
        <x:v>45000</x:v>
      </x:c>
      <x:c r="C375" s="2" t="str">
        <x:v>Liên tỉnh</x:v>
      </x:c>
    </x:row>
    <x:row r="376" ht="24" customHeight="1">
      <x:c r="A376" s="2" t="str">
        <x:v>FM000375</x:v>
      </x:c>
      <x:c r="B376" s="15" t="n">
        <x:v>45000</x:v>
      </x:c>
      <x:c r="C376" s="2" t="str">
        <x:v>Liên tỉnh</x:v>
      </x:c>
    </x:row>
    <x:row r="377" ht="24" customHeight="1">
      <x:c r="A377" s="2" t="str">
        <x:v>FM000376</x:v>
      </x:c>
      <x:c r="B377" s="15" t="n">
        <x:v>55000</x:v>
      </x:c>
      <x:c r="C377" s="2" t="str">
        <x:v>Vùng xa</x:v>
      </x:c>
    </x:row>
    <x:row r="378" ht="24" customHeight="1">
      <x:c r="A378" s="2" t="str">
        <x:v>FM000377</x:v>
      </x:c>
      <x:c r="B378" s="15" t="n">
        <x:v>55000</x:v>
      </x:c>
      <x:c r="C378" s="2" t="str">
        <x:v>Vùng xa</x:v>
      </x:c>
    </x:row>
    <x:row r="379" ht="24" customHeight="1">
      <x:c r="A379" s="2" t="str">
        <x:v>FM000378</x:v>
      </x:c>
      <x:c r="B379" s="15" t="n">
        <x:v>55000</x:v>
      </x:c>
      <x:c r="C379" s="2" t="str">
        <x:v>Vùng xa</x:v>
      </x:c>
    </x:row>
    <x:row r="380" ht="24" customHeight="1">
      <x:c r="A380" s="2" t="str">
        <x:v>FM000379</x:v>
      </x:c>
      <x:c r="B380" s="15" t="n">
        <x:v>55000</x:v>
      </x:c>
      <x:c r="C380" s="2" t="str">
        <x:v>Vùng xa</x:v>
      </x:c>
    </x:row>
    <x:row r="381" ht="24" customHeight="1">
      <x:c r="A381" s="2" t="str">
        <x:v>FM000380</x:v>
      </x:c>
      <x:c r="B381" s="15" t="n">
        <x:v>55000</x:v>
      </x:c>
      <x:c r="C381" s="2" t="str">
        <x:v>Vùng xa</x:v>
      </x:c>
    </x:row>
    <x:row r="382" ht="24" customHeight="1">
      <x:c r="A382" s="2" t="str">
        <x:v>FM000381</x:v>
      </x:c>
      <x:c r="B382" s="15" t="n">
        <x:v>55000</x:v>
      </x:c>
      <x:c r="C382" s="2" t="str">
        <x:v>Vùng xa</x:v>
      </x:c>
    </x:row>
    <x:row r="383" ht="24" customHeight="1">
      <x:c r="A383" s="2" t="str">
        <x:v>FM000382</x:v>
      </x:c>
      <x:c r="B383" s="15" t="n">
        <x:v>55000</x:v>
      </x:c>
      <x:c r="C383" s="2" t="str">
        <x:v>Vùng xa</x:v>
      </x:c>
    </x:row>
    <x:row r="384" ht="24" customHeight="1">
      <x:c r="A384" s="2" t="str">
        <x:v>FM000383</x:v>
      </x:c>
      <x:c r="B384" s="15" t="n">
        <x:v>55000</x:v>
      </x:c>
      <x:c r="C384" s="2" t="str">
        <x:v>Vùng xa</x:v>
      </x:c>
    </x:row>
    <x:row r="385" ht="24" customHeight="1">
      <x:c r="A385" s="2" t="str">
        <x:v>FM000384</x:v>
      </x:c>
      <x:c r="B385" s="15" t="n">
        <x:v>55000</x:v>
      </x:c>
      <x:c r="C385" s="2" t="str">
        <x:v>Vùng xa</x:v>
      </x:c>
    </x:row>
    <x:row r="386" ht="24" customHeight="1">
      <x:c r="A386" s="2" t="str">
        <x:v>FM000385</x:v>
      </x:c>
      <x:c r="B386" s="15" t="n">
        <x:v>55000</x:v>
      </x:c>
      <x:c r="C386" s="2" t="str">
        <x:v>Vùng xa</x:v>
      </x:c>
    </x:row>
    <x:row r="387" ht="24" customHeight="1">
      <x:c r="A387" s="2" t="str">
        <x:v>FM000386</x:v>
      </x:c>
      <x:c r="B387" s="15" t="n">
        <x:v>55000</x:v>
      </x:c>
      <x:c r="C387" s="2" t="str">
        <x:v>Vùng xa</x:v>
      </x:c>
    </x:row>
    <x:row r="388" ht="24" customHeight="1">
      <x:c r="A388" s="2" t="str">
        <x:v>FM000387</x:v>
      </x:c>
      <x:c r="B388" s="15" t="n">
        <x:v>55000</x:v>
      </x:c>
      <x:c r="C388" s="2" t="str">
        <x:v>Vùng xa</x:v>
      </x:c>
    </x:row>
    <x:row r="389" ht="24" customHeight="1">
      <x:c r="A389" s="2" t="str">
        <x:v>FM000388</x:v>
      </x:c>
      <x:c r="B389" s="15" t="n">
        <x:v>55000</x:v>
      </x:c>
      <x:c r="C389" s="2" t="str">
        <x:v>Vùng xa</x:v>
      </x:c>
    </x:row>
    <x:row r="390" ht="24" customHeight="1">
      <x:c r="A390" s="2" t="str">
        <x:v>FM000389</x:v>
      </x:c>
      <x:c r="B390" s="15" t="n">
        <x:v>55000</x:v>
      </x:c>
      <x:c r="C390" s="2" t="str">
        <x:v>Vùng xa</x:v>
      </x:c>
    </x:row>
    <x:row r="391" ht="24" customHeight="1">
      <x:c r="A391" s="2" t="str">
        <x:v>FM000390</x:v>
      </x:c>
      <x:c r="B391" s="15" t="n">
        <x:v>55000</x:v>
      </x:c>
      <x:c r="C391" s="2" t="str">
        <x:v>Vùng xa</x:v>
      </x:c>
    </x:row>
    <x:row r="392" ht="24" customHeight="1">
      <x:c r="A392" s="2" t="str">
        <x:v>FM000391</x:v>
      </x:c>
      <x:c r="B392" s="15" t="n">
        <x:v>55000</x:v>
      </x:c>
      <x:c r="C392" s="2" t="str">
        <x:v>Vùng xa</x:v>
      </x:c>
    </x:row>
    <x:row r="393" ht="24" customHeight="1">
      <x:c r="A393" s="2" t="str">
        <x:v>FM000392</x:v>
      </x:c>
      <x:c r="B393" s="15" t="n">
        <x:v>55000</x:v>
      </x:c>
      <x:c r="C393" s="2" t="str">
        <x:v>Vùng xa</x:v>
      </x:c>
    </x:row>
    <x:row r="394" ht="24" customHeight="1">
      <x:c r="A394" s="2" t="str">
        <x:v>FM000393</x:v>
      </x:c>
      <x:c r="B394" s="15" t="n">
        <x:v>55000</x:v>
      </x:c>
      <x:c r="C394" s="2" t="str">
        <x:v>Vùng xa</x:v>
      </x:c>
    </x:row>
    <x:row r="395" ht="24" customHeight="1">
      <x:c r="A395" s="2" t="str">
        <x:v>FM000394</x:v>
      </x:c>
      <x:c r="B395" s="15" t="n">
        <x:v>55000</x:v>
      </x:c>
      <x:c r="C395" s="2" t="str">
        <x:v>Vùng xa</x:v>
      </x:c>
    </x:row>
    <x:row r="396" ht="24" customHeight="1">
      <x:c r="A396" s="2" t="str">
        <x:v>FM000395</x:v>
      </x:c>
      <x:c r="B396" s="15" t="n">
        <x:v>55000</x:v>
      </x:c>
      <x:c r="C396" s="2" t="str">
        <x:v>Vùng xa</x:v>
      </x:c>
    </x:row>
    <x:row r="397" ht="24" customHeight="1">
      <x:c r="A397" s="2" t="str">
        <x:v>FM000396</x:v>
      </x:c>
      <x:c r="B397" s="15" t="n">
        <x:v>55000</x:v>
      </x:c>
      <x:c r="C397" s="2" t="str">
        <x:v>Vùng xa</x:v>
      </x:c>
    </x:row>
    <x:row r="398" ht="24" customHeight="1">
      <x:c r="A398" s="2" t="str">
        <x:v>FM000397</x:v>
      </x:c>
      <x:c r="B398" s="15" t="n">
        <x:v>55000</x:v>
      </x:c>
      <x:c r="C398" s="2" t="str">
        <x:v>Vùng xa</x:v>
      </x:c>
    </x:row>
    <x:row r="399" ht="24" customHeight="1">
      <x:c r="A399" s="2" t="str">
        <x:v>FM000398</x:v>
      </x:c>
      <x:c r="B399" s="15" t="n">
        <x:v>55000</x:v>
      </x:c>
      <x:c r="C399" s="2" t="str">
        <x:v>Vùng xa</x:v>
      </x:c>
    </x:row>
    <x:row r="400" ht="24" customHeight="1">
      <x:c r="A400" s="2" t="str">
        <x:v>FM000399</x:v>
      </x:c>
      <x:c r="B400" s="15" t="n">
        <x:v>55000</x:v>
      </x:c>
      <x:c r="C400" s="2" t="str">
        <x:v>Vùng xa</x:v>
      </x:c>
    </x:row>
    <x:row r="401" ht="24" customHeight="1">
      <x:c r="A401" s="2" t="str">
        <x:v>FM000400</x:v>
      </x:c>
      <x:c r="B401" s="15" t="n">
        <x:v>55000</x:v>
      </x:c>
      <x:c r="C401" s="2" t="str">
        <x:v>Vùng xa</x:v>
      </x:c>
    </x:row>
    <x:row r="402" ht="24" customHeight="1">
      <x:c r="A402" s="2" t="str">
        <x:v>FM000401</x:v>
      </x:c>
      <x:c r="B402" s="15" t="n">
        <x:v>55000</x:v>
      </x:c>
      <x:c r="C402" s="2" t="str">
        <x:v>Vùng xa</x:v>
      </x:c>
    </x:row>
    <x:row r="403" ht="24" customHeight="1">
      <x:c r="A403" s="2" t="str">
        <x:v>FM000402</x:v>
      </x:c>
      <x:c r="B403" s="15" t="n">
        <x:v>55000</x:v>
      </x:c>
      <x:c r="C403" s="2" t="str">
        <x:v>Vùng xa</x:v>
      </x:c>
    </x:row>
    <x:row r="404" ht="24" customHeight="1">
      <x:c r="A404" s="2" t="str">
        <x:v>FM000403</x:v>
      </x:c>
      <x:c r="B404" s="15" t="n">
        <x:v>55000</x:v>
      </x:c>
      <x:c r="C404" s="2" t="str">
        <x:v>Vùng xa</x:v>
      </x:c>
    </x:row>
    <x:row r="405" ht="24" customHeight="1">
      <x:c r="A405" s="2" t="str">
        <x:v>FM000404</x:v>
      </x:c>
      <x:c r="B405" s="15" t="n">
        <x:v>55000</x:v>
      </x:c>
      <x:c r="C405" s="2" t="str">
        <x:v>Vùng xa</x:v>
      </x:c>
    </x:row>
    <x:row r="406" ht="24" customHeight="1">
      <x:c r="A406" s="2" t="str">
        <x:v>FM000405</x:v>
      </x:c>
      <x:c r="B406" s="15" t="n">
        <x:v>55000</x:v>
      </x:c>
      <x:c r="C406" s="2" t="str">
        <x:v>Vùng xa</x:v>
      </x:c>
    </x:row>
    <x:row r="407" ht="24" customHeight="1">
      <x:c r="A407" s="2" t="str">
        <x:v>FM000406</x:v>
      </x:c>
      <x:c r="B407" s="15" t="n">
        <x:v>55000</x:v>
      </x:c>
      <x:c r="C407" s="2" t="str">
        <x:v>Vùng xa</x:v>
      </x:c>
    </x:row>
    <x:row r="408" ht="24" customHeight="1">
      <x:c r="A408" s="2" t="str">
        <x:v>FM000407</x:v>
      </x:c>
      <x:c r="B408" s="15" t="n">
        <x:v>55000</x:v>
      </x:c>
      <x:c r="C408" s="2" t="str">
        <x:v>Vùng xa</x:v>
      </x:c>
    </x:row>
    <x:row r="409" ht="24" customHeight="1">
      <x:c r="A409" s="2" t="str">
        <x:v>FM000408</x:v>
      </x:c>
      <x:c r="B409" s="15" t="n">
        <x:v>55000</x:v>
      </x:c>
      <x:c r="C409" s="2" t="str">
        <x:v>Vùng xa</x:v>
      </x:c>
    </x:row>
    <x:row r="410" ht="24" customHeight="1">
      <x:c r="A410" s="2" t="str">
        <x:v>FM000409</x:v>
      </x:c>
      <x:c r="B410" s="15" t="n">
        <x:v>55000</x:v>
      </x:c>
      <x:c r="C410" s="2" t="str">
        <x:v>Vùng xa</x:v>
      </x:c>
    </x:row>
    <x:row r="411" ht="24" customHeight="1">
      <x:c r="A411" s="2" t="str">
        <x:v>FM000410</x:v>
      </x:c>
      <x:c r="B411" s="15" t="n">
        <x:v>55000</x:v>
      </x:c>
      <x:c r="C411" s="2" t="str">
        <x:v>Vùng xa</x:v>
      </x:c>
    </x:row>
    <x:row r="412" ht="24" customHeight="1">
      <x:c r="A412" s="2" t="str">
        <x:v>FM000411</x:v>
      </x:c>
      <x:c r="B412" s="15" t="n">
        <x:v>55000</x:v>
      </x:c>
      <x:c r="C412" s="2" t="str">
        <x:v>Vùng xa</x:v>
      </x:c>
    </x:row>
    <x:row r="413" ht="24" customHeight="1">
      <x:c r="A413" s="2" t="str">
        <x:v>FM000412</x:v>
      </x:c>
      <x:c r="B413" s="15" t="n">
        <x:v>55000</x:v>
      </x:c>
      <x:c r="C413" s="2" t="str">
        <x:v>Vùng xa</x:v>
      </x:c>
    </x:row>
    <x:row r="414" ht="24" customHeight="1">
      <x:c r="A414" s="2" t="str">
        <x:v>FM000413</x:v>
      </x:c>
      <x:c r="B414" s="15" t="n">
        <x:v>55000</x:v>
      </x:c>
      <x:c r="C414" s="2" t="str">
        <x:v>Vùng xa</x:v>
      </x:c>
    </x:row>
    <x:row r="415" ht="24" customHeight="1">
      <x:c r="A415" s="2" t="str">
        <x:v>FM000414</x:v>
      </x:c>
      <x:c r="B415" s="15" t="n">
        <x:v>55000</x:v>
      </x:c>
      <x:c r="C415" s="2" t="str">
        <x:v>Vùng xa</x:v>
      </x:c>
    </x:row>
    <x:row r="416" ht="24" customHeight="1">
      <x:c r="A416" s="2" t="str">
        <x:v>FM000415</x:v>
      </x:c>
      <x:c r="B416" s="15" t="n">
        <x:v>55000</x:v>
      </x:c>
      <x:c r="C416" s="2" t="str">
        <x:v>Vùng xa</x:v>
      </x:c>
    </x:row>
    <x:row r="417" ht="24" customHeight="1">
      <x:c r="A417" s="2" t="str">
        <x:v>FM000416</x:v>
      </x:c>
      <x:c r="B417" s="15" t="n">
        <x:v>55000</x:v>
      </x:c>
      <x:c r="C417" s="2" t="str">
        <x:v>Vùng xa</x:v>
      </x:c>
    </x:row>
    <x:row r="418" ht="24" customHeight="1">
      <x:c r="A418" s="2" t="str">
        <x:v>FM000417</x:v>
      </x:c>
      <x:c r="B418" s="15" t="n">
        <x:v>55000</x:v>
      </x:c>
      <x:c r="C418" s="2" t="str">
        <x:v>Vùng xa</x:v>
      </x:c>
    </x:row>
    <x:row r="419" ht="24" customHeight="1">
      <x:c r="A419" s="2" t="str">
        <x:v>FM000418</x:v>
      </x:c>
      <x:c r="B419" s="15" t="n">
        <x:v>55000</x:v>
      </x:c>
      <x:c r="C419" s="2" t="str">
        <x:v>Vùng xa</x:v>
      </x:c>
    </x:row>
    <x:row r="420" ht="24" customHeight="1">
      <x:c r="A420" s="2" t="str">
        <x:v>FM000419</x:v>
      </x:c>
      <x:c r="B420" s="15" t="n">
        <x:v>55000</x:v>
      </x:c>
      <x:c r="C420" s="2" t="str">
        <x:v>Vùng xa</x:v>
      </x:c>
    </x:row>
    <x:row r="421" ht="24" customHeight="1">
      <x:c r="A421" s="2" t="str">
        <x:v>FM000420</x:v>
      </x:c>
      <x:c r="B421" s="15" t="n">
        <x:v>55000</x:v>
      </x:c>
      <x:c r="C421" s="2" t="str">
        <x:v>Vùng xa</x:v>
      </x:c>
    </x:row>
    <x:row r="422" ht="24" customHeight="1">
      <x:c r="A422" s="2" t="str">
        <x:v>FM000421</x:v>
      </x:c>
      <x:c r="B422" s="15" t="n">
        <x:v>55000</x:v>
      </x:c>
      <x:c r="C422" s="2" t="str">
        <x:v>Vùng xa</x:v>
      </x:c>
    </x:row>
    <x:row r="423" ht="24" customHeight="1">
      <x:c r="A423" s="2" t="str">
        <x:v>FM000422</x:v>
      </x:c>
      <x:c r="B423" s="15" t="n">
        <x:v>55000</x:v>
      </x:c>
      <x:c r="C423" s="2" t="str">
        <x:v>Vùng xa</x:v>
      </x:c>
    </x:row>
    <x:row r="424" ht="24" customHeight="1">
      <x:c r="A424" s="2" t="str">
        <x:v>FM000423</x:v>
      </x:c>
      <x:c r="B424" s="15" t="n">
        <x:v>55000</x:v>
      </x:c>
      <x:c r="C424" s="2" t="str">
        <x:v>Vùng xa</x:v>
      </x:c>
    </x:row>
    <x:row r="425" ht="24" customHeight="1">
      <x:c r="A425" s="2" t="str">
        <x:v>FM000424</x:v>
      </x:c>
      <x:c r="B425" s="15" t="n">
        <x:v>55000</x:v>
      </x:c>
      <x:c r="C425" s="2" t="str">
        <x:v>Vùng xa</x:v>
      </x:c>
    </x:row>
    <x:row r="426" ht="24" customHeight="1">
      <x:c r="A426" s="2" t="str">
        <x:v>FM000425</x:v>
      </x:c>
      <x:c r="B426" s="15" t="n">
        <x:v>55000</x:v>
      </x:c>
      <x:c r="C426" s="2" t="str">
        <x:v>Vùng xa</x:v>
      </x:c>
    </x:row>
    <x:row r="427" ht="24" customHeight="1">
      <x:c r="A427" s="2" t="str">
        <x:v>FM000426</x:v>
      </x:c>
      <x:c r="B427" s="15" t="n">
        <x:v>55000</x:v>
      </x:c>
      <x:c r="C427" s="2" t="str">
        <x:v>Vùng xa</x:v>
      </x:c>
    </x:row>
    <x:row r="428" ht="24" customHeight="1">
      <x:c r="A428" s="2" t="str">
        <x:v>FM000427</x:v>
      </x:c>
      <x:c r="B428" s="15" t="n">
        <x:v>55000</x:v>
      </x:c>
      <x:c r="C428" s="2" t="str">
        <x:v>Vùng xa</x:v>
      </x:c>
    </x:row>
    <x:row r="429" ht="24" customHeight="1">
      <x:c r="A429" s="2" t="str">
        <x:v>FM000428</x:v>
      </x:c>
      <x:c r="B429" s="15" t="n">
        <x:v>55000</x:v>
      </x:c>
      <x:c r="C429" s="2" t="str">
        <x:v>Vùng xa</x:v>
      </x:c>
    </x:row>
    <x:row r="430" ht="24" customHeight="1">
      <x:c r="A430" s="2" t="str">
        <x:v>FM000429</x:v>
      </x:c>
      <x:c r="B430" s="15" t="n">
        <x:v>55000</x:v>
      </x:c>
      <x:c r="C430" s="2" t="str">
        <x:v>Vùng xa</x:v>
      </x:c>
    </x:row>
    <x:row r="431" ht="24" customHeight="1">
      <x:c r="A431" s="2" t="str">
        <x:v>FM000430</x:v>
      </x:c>
      <x:c r="B431" s="15" t="n">
        <x:v>55000</x:v>
      </x:c>
      <x:c r="C431" s="2" t="str">
        <x:v>Vùng xa</x:v>
      </x:c>
    </x:row>
    <x:row r="432" ht="24" customHeight="1">
      <x:c r="A432" s="2" t="str">
        <x:v>FM000431</x:v>
      </x:c>
      <x:c r="B432" s="15" t="n">
        <x:v>55000</x:v>
      </x:c>
      <x:c r="C432" s="2" t="str">
        <x:v>Vùng xa</x:v>
      </x:c>
    </x:row>
    <x:row r="433" ht="24" customHeight="1">
      <x:c r="A433" s="2" t="str">
        <x:v>FM000432</x:v>
      </x:c>
      <x:c r="B433" s="15" t="n">
        <x:v>55000</x:v>
      </x:c>
      <x:c r="C433" s="2" t="str">
        <x:v>Vùng xa</x:v>
      </x:c>
    </x:row>
    <x:row r="434" ht="24" customHeight="1">
      <x:c r="A434" s="2" t="str">
        <x:v>FM000433</x:v>
      </x:c>
      <x:c r="B434" s="15" t="n">
        <x:v>55000</x:v>
      </x:c>
      <x:c r="C434" s="2" t="str">
        <x:v>Vùng xa</x:v>
      </x:c>
    </x:row>
    <x:row r="435" ht="24" customHeight="1">
      <x:c r="A435" s="2" t="str">
        <x:v>FM000434</x:v>
      </x:c>
      <x:c r="B435" s="15" t="n">
        <x:v>55000</x:v>
      </x:c>
      <x:c r="C435" s="2" t="str">
        <x:v>Vùng xa</x:v>
      </x:c>
    </x:row>
    <x:row r="436" ht="24" customHeight="1">
      <x:c r="A436" s="2" t="str">
        <x:v>FM000435</x:v>
      </x:c>
      <x:c r="B436" s="15" t="n">
        <x:v>55000</x:v>
      </x:c>
      <x:c r="C436" s="2" t="str">
        <x:v>Vùng xa</x:v>
      </x:c>
    </x:row>
    <x:row r="437" ht="24" customHeight="1">
      <x:c r="A437" s="2" t="str">
        <x:v>FM000436</x:v>
      </x:c>
      <x:c r="B437" s="15" t="n">
        <x:v>55000</x:v>
      </x:c>
      <x:c r="C437" s="2" t="str">
        <x:v>Vùng xa</x:v>
      </x:c>
    </x:row>
    <x:row r="438" ht="24" customHeight="1">
      <x:c r="A438" s="2" t="str">
        <x:v>FM000437</x:v>
      </x:c>
      <x:c r="B438" s="15" t="n">
        <x:v>55000</x:v>
      </x:c>
      <x:c r="C438" s="2" t="str">
        <x:v>Vùng xa</x:v>
      </x:c>
    </x:row>
    <x:row r="439" ht="24" customHeight="1">
      <x:c r="A439" s="2" t="str">
        <x:v>FM000438</x:v>
      </x:c>
      <x:c r="B439" s="15" t="n">
        <x:v>55000</x:v>
      </x:c>
      <x:c r="C439" s="2" t="str">
        <x:v>Vùng xa</x:v>
      </x:c>
    </x:row>
    <x:row r="440" ht="24" customHeight="1">
      <x:c r="A440" s="2" t="str">
        <x:v>FM000439</x:v>
      </x:c>
      <x:c r="B440" s="15" t="n">
        <x:v>55000</x:v>
      </x:c>
      <x:c r="C440" s="2" t="str">
        <x:v>Vùng xa</x:v>
      </x:c>
    </x:row>
    <x:row r="441" ht="24" customHeight="1">
      <x:c r="A441" s="2" t="str">
        <x:v>FM000440</x:v>
      </x:c>
      <x:c r="B441" s="15" t="n">
        <x:v>55000</x:v>
      </x:c>
      <x:c r="C441" s="2" t="str">
        <x:v>Vùng xa</x:v>
      </x:c>
    </x:row>
    <x:row r="442" ht="24" customHeight="1">
      <x:c r="A442" s="2" t="str">
        <x:v>FM000441</x:v>
      </x:c>
      <x:c r="B442" s="15" t="n">
        <x:v>55000</x:v>
      </x:c>
      <x:c r="C442" s="2" t="str">
        <x:v>Vùng xa</x:v>
      </x:c>
    </x:row>
    <x:row r="443" ht="24" customHeight="1">
      <x:c r="A443" s="2" t="str">
        <x:v>FM000442</x:v>
      </x:c>
      <x:c r="B443" s="15" t="n">
        <x:v>55000</x:v>
      </x:c>
      <x:c r="C443" s="2" t="str">
        <x:v>Vùng xa</x:v>
      </x:c>
    </x:row>
    <x:row r="444" ht="24" customHeight="1">
      <x:c r="A444" s="2" t="str">
        <x:v>FM000443</x:v>
      </x:c>
      <x:c r="B444" s="15" t="n">
        <x:v>55000</x:v>
      </x:c>
      <x:c r="C444" s="2" t="str">
        <x:v>Vùng xa</x:v>
      </x:c>
    </x:row>
    <x:row r="445" ht="24" customHeight="1">
      <x:c r="A445" s="2" t="str">
        <x:v>FM000444</x:v>
      </x:c>
      <x:c r="B445" s="15" t="n">
        <x:v>55000</x:v>
      </x:c>
      <x:c r="C445" s="2" t="str">
        <x:v>Vùng xa</x:v>
      </x:c>
    </x:row>
    <x:row r="446" ht="24" customHeight="1">
      <x:c r="A446" s="2" t="str">
        <x:v>FM000445</x:v>
      </x:c>
      <x:c r="B446" s="15" t="n">
        <x:v>55000</x:v>
      </x:c>
      <x:c r="C446" s="2" t="str">
        <x:v>Vùng xa</x:v>
      </x:c>
    </x:row>
    <x:row r="447" ht="24" customHeight="1">
      <x:c r="A447" s="2" t="str">
        <x:v>FM000446</x:v>
      </x:c>
      <x:c r="B447" s="15" t="n">
        <x:v>55000</x:v>
      </x:c>
      <x:c r="C447" s="2" t="str">
        <x:v>Vùng xa</x:v>
      </x:c>
    </x:row>
    <x:row r="448" ht="24" customHeight="1">
      <x:c r="A448" s="2" t="str">
        <x:v>FM000447</x:v>
      </x:c>
      <x:c r="B448" s="15" t="n">
        <x:v>55000</x:v>
      </x:c>
      <x:c r="C448" s="2" t="str">
        <x:v>Vùng xa</x:v>
      </x:c>
    </x:row>
    <x:row r="449" ht="24" customHeight="1">
      <x:c r="A449" s="2" t="str">
        <x:v>FM000448</x:v>
      </x:c>
      <x:c r="B449" s="15" t="n">
        <x:v>55000</x:v>
      </x:c>
      <x:c r="C449" s="2" t="str">
        <x:v>Vùng xa</x:v>
      </x:c>
    </x:row>
    <x:row r="450" ht="24" customHeight="1">
      <x:c r="A450" s="2" t="str">
        <x:v>FM000449</x:v>
      </x:c>
      <x:c r="B450" s="15" t="n">
        <x:v>55000</x:v>
      </x:c>
      <x:c r="C450" s="2" t="str">
        <x:v>Vùng xa</x:v>
      </x:c>
    </x:row>
    <x:row r="451" ht="24" customHeight="1">
      <x:c r="A451" s="2" t="str">
        <x:v>FM000450</x:v>
      </x:c>
      <x:c r="B451" s="15" t="n">
        <x:v>55000</x:v>
      </x:c>
      <x:c r="C451" s="2" t="str">
        <x:v>Vùng xa</x:v>
      </x:c>
    </x:row>
    <x:row r="452" ht="24" customHeight="1">
      <x:c r="A452" s="2" t="str">
        <x:v>FM000451</x:v>
      </x:c>
      <x:c r="B452" s="15" t="n">
        <x:v>55000</x:v>
      </x:c>
      <x:c r="C452" s="2" t="str">
        <x:v>Vùng xa</x:v>
      </x:c>
    </x:row>
    <x:row r="453" ht="24" customHeight="1">
      <x:c r="A453" s="2" t="str">
        <x:v>FM000452</x:v>
      </x:c>
      <x:c r="B453" s="15" t="n">
        <x:v>55000</x:v>
      </x:c>
      <x:c r="C453" s="2" t="str">
        <x:v>Vùng xa</x:v>
      </x:c>
    </x:row>
    <x:row r="454" ht="24" customHeight="1">
      <x:c r="A454" s="2" t="str">
        <x:v>FM000453</x:v>
      </x:c>
      <x:c r="B454" s="15" t="n">
        <x:v>55000</x:v>
      </x:c>
      <x:c r="C454" s="2" t="str">
        <x:v>Vùng xa</x:v>
      </x:c>
    </x:row>
    <x:row r="455" ht="24" customHeight="1">
      <x:c r="A455" s="2" t="str">
        <x:v>FM000454</x:v>
      </x:c>
      <x:c r="B455" s="15" t="n">
        <x:v>55000</x:v>
      </x:c>
      <x:c r="C455" s="2" t="str">
        <x:v>Vùng xa</x:v>
      </x:c>
    </x:row>
    <x:row r="456" ht="24" customHeight="1">
      <x:c r="A456" s="2" t="str">
        <x:v>FM000455</x:v>
      </x:c>
      <x:c r="B456" s="15" t="n">
        <x:v>55000</x:v>
      </x:c>
      <x:c r="C456" s="2" t="str">
        <x:v>Vùng xa</x:v>
      </x:c>
    </x:row>
    <x:row r="457" ht="24" customHeight="1">
      <x:c r="A457" s="2" t="str">
        <x:v>FM000456</x:v>
      </x:c>
      <x:c r="B457" s="15" t="n">
        <x:v>55000</x:v>
      </x:c>
      <x:c r="C457" s="2" t="str">
        <x:v>Vùng xa</x:v>
      </x:c>
    </x:row>
    <x:row r="458" ht="24" customHeight="1">
      <x:c r="A458" s="2" t="str">
        <x:v>FM000457</x:v>
      </x:c>
      <x:c r="B458" s="15" t="n">
        <x:v>55000</x:v>
      </x:c>
      <x:c r="C458" s="2" t="str">
        <x:v>Vùng xa</x:v>
      </x:c>
    </x:row>
    <x:row r="459" ht="24" customHeight="1">
      <x:c r="A459" s="2" t="str">
        <x:v>FM000458</x:v>
      </x:c>
      <x:c r="B459" s="15" t="n">
        <x:v>55000</x:v>
      </x:c>
      <x:c r="C459" s="2" t="str">
        <x:v>Vùng xa</x:v>
      </x:c>
    </x:row>
    <x:row r="460" ht="24" customHeight="1">
      <x:c r="A460" s="2" t="str">
        <x:v>FM000459</x:v>
      </x:c>
      <x:c r="B460" s="15" t="n">
        <x:v>55000</x:v>
      </x:c>
      <x:c r="C460" s="2" t="str">
        <x:v>Vùng xa</x:v>
      </x:c>
    </x:row>
    <x:row r="461" ht="24" customHeight="1">
      <x:c r="A461" s="2" t="str">
        <x:v>FM000460</x:v>
      </x:c>
      <x:c r="B461" s="15" t="n">
        <x:v>55000</x:v>
      </x:c>
      <x:c r="C461" s="2" t="str">
        <x:v>Vùng xa</x:v>
      </x:c>
    </x:row>
    <x:row r="462" ht="24" customHeight="1">
      <x:c r="A462" s="2" t="str">
        <x:v>FM000461</x:v>
      </x:c>
      <x:c r="B462" s="15" t="n">
        <x:v>55000</x:v>
      </x:c>
      <x:c r="C462" s="2" t="str">
        <x:v>Vùng xa</x:v>
      </x:c>
    </x:row>
    <x:row r="463" ht="24" customHeight="1">
      <x:c r="A463" s="2" t="str">
        <x:v>FM000462</x:v>
      </x:c>
      <x:c r="B463" s="15" t="n">
        <x:v>55000</x:v>
      </x:c>
      <x:c r="C463" s="2" t="str">
        <x:v>Vùng xa</x:v>
      </x:c>
    </x:row>
    <x:row r="464" ht="24" customHeight="1">
      <x:c r="A464" s="2" t="str">
        <x:v>FM000463</x:v>
      </x:c>
      <x:c r="B464" s="15" t="n">
        <x:v>55000</x:v>
      </x:c>
      <x:c r="C464" s="2" t="str">
        <x:v>Vùng xa</x:v>
      </x:c>
    </x:row>
    <x:row r="465" ht="24" customHeight="1">
      <x:c r="A465" s="2" t="str">
        <x:v>FM000464</x:v>
      </x:c>
      <x:c r="B465" s="15" t="n">
        <x:v>55000</x:v>
      </x:c>
      <x:c r="C465" s="2" t="str">
        <x:v>Vùng xa</x:v>
      </x:c>
    </x:row>
    <x:row r="466" ht="24" customHeight="1">
      <x:c r="A466" s="2" t="str">
        <x:v>FM000465</x:v>
      </x:c>
      <x:c r="B466" s="15" t="n">
        <x:v>55000</x:v>
      </x:c>
      <x:c r="C466" s="2" t="str">
        <x:v>Vùng xa</x:v>
      </x:c>
    </x:row>
    <x:row r="467" ht="24" customHeight="1">
      <x:c r="A467" s="2" t="str">
        <x:v>FM000466</x:v>
      </x:c>
      <x:c r="B467" s="15" t="n">
        <x:v>55000</x:v>
      </x:c>
      <x:c r="C467" s="2" t="str">
        <x:v>Vùng xa</x:v>
      </x:c>
    </x:row>
    <x:row r="468" ht="24" customHeight="1">
      <x:c r="A468" s="2" t="str">
        <x:v>FM000467</x:v>
      </x:c>
      <x:c r="B468" s="15" t="n">
        <x:v>55000</x:v>
      </x:c>
      <x:c r="C468" s="2" t="str">
        <x:v>Vùng xa</x:v>
      </x:c>
    </x:row>
    <x:row r="469" ht="24" customHeight="1">
      <x:c r="A469" s="2" t="str">
        <x:v>FM000468</x:v>
      </x:c>
      <x:c r="B469" s="15" t="n">
        <x:v>55000</x:v>
      </x:c>
      <x:c r="C469" s="2" t="str">
        <x:v>Vùng xa</x:v>
      </x:c>
    </x:row>
    <x:row r="470" ht="24" customHeight="1">
      <x:c r="A470" s="2" t="str">
        <x:v>FM000469</x:v>
      </x:c>
      <x:c r="B470" s="15" t="n">
        <x:v>55000</x:v>
      </x:c>
      <x:c r="C470" s="2" t="str">
        <x:v>Vùng xa</x:v>
      </x:c>
    </x:row>
    <x:row r="471" ht="24" customHeight="1">
      <x:c r="A471" s="2" t="str">
        <x:v>FM000470</x:v>
      </x:c>
      <x:c r="B471" s="15" t="n">
        <x:v>55000</x:v>
      </x:c>
      <x:c r="C471" s="2" t="str">
        <x:v>Vùng xa</x:v>
      </x:c>
    </x:row>
    <x:row r="472" ht="24" customHeight="1">
      <x:c r="A472" s="2" t="str">
        <x:v>FM000471</x:v>
      </x:c>
      <x:c r="B472" s="15" t="n">
        <x:v>55000</x:v>
      </x:c>
      <x:c r="C472" s="2" t="str">
        <x:v>Vùng xa</x:v>
      </x:c>
    </x:row>
    <x:row r="473" ht="24" customHeight="1">
      <x:c r="A473" s="2" t="str">
        <x:v>FM000472</x:v>
      </x:c>
      <x:c r="B473" s="15" t="n">
        <x:v>55000</x:v>
      </x:c>
      <x:c r="C473" s="2" t="str">
        <x:v>Vùng xa</x:v>
      </x:c>
    </x:row>
    <x:row r="474" ht="24" customHeight="1">
      <x:c r="A474" s="2" t="str">
        <x:v>FM000473</x:v>
      </x:c>
      <x:c r="B474" s="15" t="n">
        <x:v>55000</x:v>
      </x:c>
      <x:c r="C474" s="2" t="str">
        <x:v>Vùng xa</x:v>
      </x:c>
    </x:row>
    <x:row r="475" ht="24" customHeight="1">
      <x:c r="A475" s="2" t="str">
        <x:v>FM000474</x:v>
      </x:c>
      <x:c r="B475" s="15" t="n">
        <x:v>55000</x:v>
      </x:c>
      <x:c r="C475" s="2" t="str">
        <x:v>Vùng xa</x:v>
      </x:c>
    </x:row>
    <x:row r="476" ht="24" customHeight="1">
      <x:c r="A476" s="2" t="str">
        <x:v>FM000475</x:v>
      </x:c>
      <x:c r="B476" s="15" t="n">
        <x:v>55000</x:v>
      </x:c>
      <x:c r="C476" s="2" t="str">
        <x:v>Vùng xa</x:v>
      </x:c>
    </x:row>
    <x:row r="477" ht="24" customHeight="1">
      <x:c r="A477" s="2" t="str">
        <x:v>FM000476</x:v>
      </x:c>
      <x:c r="B477" s="15" t="n">
        <x:v>55000</x:v>
      </x:c>
      <x:c r="C477" s="2" t="str">
        <x:v>Vùng xa</x:v>
      </x:c>
    </x:row>
    <x:row r="478" ht="24" customHeight="1">
      <x:c r="A478" s="2" t="str">
        <x:v>FM000477</x:v>
      </x:c>
      <x:c r="B478" s="15" t="n">
        <x:v>55000</x:v>
      </x:c>
      <x:c r="C478" s="2" t="str">
        <x:v>Vùng xa</x:v>
      </x:c>
    </x:row>
    <x:row r="479" ht="24" customHeight="1">
      <x:c r="A479" s="2" t="str">
        <x:v>FM000478</x:v>
      </x:c>
      <x:c r="B479" s="15" t="n">
        <x:v>55000</x:v>
      </x:c>
      <x:c r="C479" s="2" t="str">
        <x:v>Vùng xa</x:v>
      </x:c>
    </x:row>
    <x:row r="480" ht="24" customHeight="1">
      <x:c r="A480" s="2" t="str">
        <x:v>FM000479</x:v>
      </x:c>
      <x:c r="B480" s="15" t="n">
        <x:v>55000</x:v>
      </x:c>
      <x:c r="C480" s="2" t="str">
        <x:v>Vùng xa</x:v>
      </x:c>
    </x:row>
    <x:row r="481" ht="24" customHeight="1">
      <x:c r="A481" s="2" t="str">
        <x:v>FM000480</x:v>
      </x:c>
      <x:c r="B481" s="15" t="n">
        <x:v>55000</x:v>
      </x:c>
      <x:c r="C481" s="2" t="str">
        <x:v>Vùng xa</x:v>
      </x:c>
    </x:row>
    <x:row r="482" ht="24" customHeight="1">
      <x:c r="A482" s="2" t="str">
        <x:v>FM000481</x:v>
      </x:c>
      <x:c r="B482" s="15" t="n">
        <x:v>55000</x:v>
      </x:c>
      <x:c r="C482" s="2" t="str">
        <x:v>Vùng xa</x:v>
      </x:c>
    </x:row>
    <x:row r="483" ht="24" customHeight="1">
      <x:c r="A483" s="2" t="str">
        <x:v>FM000482</x:v>
      </x:c>
      <x:c r="B483" s="15" t="n">
        <x:v>55000</x:v>
      </x:c>
      <x:c r="C483" s="2" t="str">
        <x:v>Vùng xa</x:v>
      </x:c>
    </x:row>
    <x:row r="484" ht="24" customHeight="1">
      <x:c r="A484" s="2" t="str">
        <x:v>FM000483</x:v>
      </x:c>
      <x:c r="B484" s="15" t="n">
        <x:v>55000</x:v>
      </x:c>
      <x:c r="C484" s="2" t="str">
        <x:v>Vùng xa</x:v>
      </x:c>
    </x:row>
    <x:row r="485" ht="24" customHeight="1">
      <x:c r="A485" s="2" t="str">
        <x:v>FM000484</x:v>
      </x:c>
      <x:c r="B485" s="15" t="n">
        <x:v>55000</x:v>
      </x:c>
      <x:c r="C485" s="2" t="str">
        <x:v>Vùng xa</x:v>
      </x:c>
    </x:row>
    <x:row r="486" ht="24" customHeight="1">
      <x:c r="A486" s="2" t="str">
        <x:v>FM000485</x:v>
      </x:c>
      <x:c r="B486" s="15" t="n">
        <x:v>55000</x:v>
      </x:c>
      <x:c r="C486" s="2" t="str">
        <x:v>Vùng xa</x:v>
      </x:c>
    </x:row>
    <x:row r="487" ht="24" customHeight="1">
      <x:c r="A487" s="2" t="str">
        <x:v>FM000486</x:v>
      </x:c>
      <x:c r="B487" s="15" t="n">
        <x:v>55000</x:v>
      </x:c>
      <x:c r="C487" s="2" t="str">
        <x:v>Vùng xa</x:v>
      </x:c>
    </x:row>
    <x:row r="488" ht="24" customHeight="1">
      <x:c r="A488" s="2" t="str">
        <x:v>FM000487</x:v>
      </x:c>
      <x:c r="B488" s="15" t="n">
        <x:v>55000</x:v>
      </x:c>
      <x:c r="C488" s="2" t="str">
        <x:v>Vùng xa</x:v>
      </x:c>
    </x:row>
    <x:row r="489" ht="24" customHeight="1">
      <x:c r="A489" s="2" t="str">
        <x:v>FM000488</x:v>
      </x:c>
      <x:c r="B489" s="15" t="n">
        <x:v>55000</x:v>
      </x:c>
      <x:c r="C489" s="2" t="str">
        <x:v>Vùng xa</x:v>
      </x:c>
    </x:row>
    <x:row r="490" ht="24" customHeight="1">
      <x:c r="A490" s="2" t="str">
        <x:v>FM000489</x:v>
      </x:c>
      <x:c r="B490" s="15" t="n">
        <x:v>55000</x:v>
      </x:c>
      <x:c r="C490" s="2" t="str">
        <x:v>Vùng xa</x:v>
      </x:c>
    </x:row>
    <x:row r="491" ht="24" customHeight="1">
      <x:c r="A491" s="2" t="str">
        <x:v>FM000490</x:v>
      </x:c>
      <x:c r="B491" s="15" t="n">
        <x:v>55000</x:v>
      </x:c>
      <x:c r="C491" s="2" t="str">
        <x:v>Vùng xa</x:v>
      </x:c>
    </x:row>
    <x:row r="492" ht="24" customHeight="1">
      <x:c r="A492" s="2" t="str">
        <x:v>FM000491</x:v>
      </x:c>
      <x:c r="B492" s="15" t="n">
        <x:v>55000</x:v>
      </x:c>
      <x:c r="C492" s="2" t="str">
        <x:v>Vùng xa</x:v>
      </x:c>
    </x:row>
    <x:row r="493" ht="24" customHeight="1">
      <x:c r="A493" s="2" t="str">
        <x:v>FM000492</x:v>
      </x:c>
      <x:c r="B493" s="15" t="n">
        <x:v>55000</x:v>
      </x:c>
      <x:c r="C493" s="2" t="str">
        <x:v>Vùng xa</x:v>
      </x:c>
    </x:row>
    <x:row r="494" ht="24" customHeight="1">
      <x:c r="A494" s="2" t="str">
        <x:v>FM000493</x:v>
      </x:c>
      <x:c r="B494" s="15" t="n">
        <x:v>55000</x:v>
      </x:c>
      <x:c r="C494" s="2" t="str">
        <x:v>Vùng xa</x:v>
      </x:c>
    </x:row>
    <x:row r="495" ht="24" customHeight="1">
      <x:c r="A495" s="2" t="str">
        <x:v>FM000494</x:v>
      </x:c>
      <x:c r="B495" s="15" t="n">
        <x:v>55000</x:v>
      </x:c>
      <x:c r="C495" s="2" t="str">
        <x:v>Vùng xa</x:v>
      </x:c>
    </x:row>
    <x:row r="496" ht="24" customHeight="1">
      <x:c r="A496" s="2" t="str">
        <x:v>FM000495</x:v>
      </x:c>
      <x:c r="B496" s="15" t="n">
        <x:v>55000</x:v>
      </x:c>
      <x:c r="C496" s="2" t="str">
        <x:v>Vùng xa</x:v>
      </x:c>
    </x:row>
    <x:row r="497" ht="24" customHeight="1">
      <x:c r="A497" s="2" t="str">
        <x:v>FM000496</x:v>
      </x:c>
      <x:c r="B497" s="15" t="n">
        <x:v>55000</x:v>
      </x:c>
      <x:c r="C497" s="2" t="str">
        <x:v>Vùng xa</x:v>
      </x:c>
    </x:row>
    <x:row r="498" ht="24" customHeight="1">
      <x:c r="A498" s="2" t="str">
        <x:v>FM000497</x:v>
      </x:c>
      <x:c r="B498" s="15" t="n">
        <x:v>55000</x:v>
      </x:c>
      <x:c r="C498" s="2" t="str">
        <x:v>Vùng xa</x:v>
      </x:c>
    </x:row>
    <x:row r="499" ht="24" customHeight="1">
      <x:c r="A499" s="2" t="str">
        <x:v>FM000498</x:v>
      </x:c>
      <x:c r="B499" s="15" t="n">
        <x:v>55000</x:v>
      </x:c>
      <x:c r="C499" s="2" t="str">
        <x:v>Vùng xa</x:v>
      </x:c>
    </x:row>
    <x:row r="500" ht="24" customHeight="1">
      <x:c r="A500" s="2" t="str">
        <x:v>FM000499</x:v>
      </x:c>
      <x:c r="B500" s="15" t="n">
        <x:v>55000</x:v>
      </x:c>
      <x:c r="C500" s="2" t="str">
        <x:v>Vùng xa</x:v>
      </x:c>
    </x:row>
    <x:row r="501" ht="24" customHeight="1">
      <x:c r="A501" s="2" t="str">
        <x:v>FM000500</x:v>
      </x:c>
      <x:c r="B501" s="15" t="n">
        <x:v>55000</x:v>
      </x:c>
      <x:c r="C501" s="2" t="str">
        <x:v>Vùng xa</x:v>
      </x:c>
    </x:row>
  </x:sheetData>
  <x:pageMargins left="0.7" right="0.7" top="0.75" bottom="0.75" header="0.3" footer="0.3"/>
  <x:tableParts count="1">
    <x:tablePart xmlns:r="http://schemas.openxmlformats.org/officeDocument/2006/relationships" r:id="Rc539b2b7f5cf4bd4"/>
  </x:tableParts>
</x:worksheet>
</file>

<file path=xl/worksheets/sheet4.xml><?xml version="1.0" encoding="utf-8"?>
<x:worksheet xmlns:x="http://schemas.openxmlformats.org/spreadsheetml/2006/main">
  <x:sheetPr>
    <x:tabColor rgb="FF123D6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42" hidden="0" customWidth="1"/>
    <x:col min="7" max="7" width="24" hidden="0" customWidth="1"/>
  </x:cols>
  <x:sheetData>
    <x:row r="1" ht="34" customHeight="1">
      <x:c r="A1" s="5" t="str">
        <x:v>Mã thử gốc</x:v>
      </x:c>
      <x:c r="B1" s="5" t="str">
        <x:v>Mã sau làm sạch</x:v>
      </x:c>
      <x:c r="C1" s="5" t="str">
        <x:v>Tra sau làm sạch</x:v>
      </x:c>
      <x:c r="D1" s="5" t="str">
        <x:v>Kết quả kỳ vọng</x:v>
      </x:c>
      <x:c r="E1" s="5" t="str">
        <x:v>Đánh giá</x:v>
      </x:c>
      <x:c r="F1" s="5" t="str">
        <x:v>Tình huống</x:v>
      </x:c>
      <x:c r="G1" s="5" t="str">
        <x:v>Tra trực tiếp</x:v>
      </x:c>
    </x:row>
    <x:row r="2" ht="24" customHeight="1">
      <x:c r="A2" s="2" t="str">
        <x:v>FM000001</x:v>
      </x:c>
      <x:c r="B2" s="2" t="str">
        <x:f>TRIM(CLEAN(SUBSTITUTE(A2,CHAR(160)," ")))</x:f>
        <x:v>FM000001</x:v>
      </x:c>
      <x:c r="C2" s="15" t="n">
        <x:f>IF(B2="","Thiếu mã",IFERROR(VLOOKUP(B2,'GiaCuoc'!$A$2:$B$501,2,FALSE),"Cần kiểm tra mã"))</x:f>
        <x:v>20000</x:v>
      </x:c>
      <x:c r="D2" s="15" t="n">
        <x:v>20000</x:v>
      </x:c>
      <x:c r="E2" s="28" t="str">
        <x:f>IF(C2=D2,"Đạt","Chưa đạt")</x:f>
        <x:v>Đạt</x:v>
      </x:c>
      <x:c r="F2" s="2" t="str">
        <x:v>Mã chuẩn</x:v>
      </x:c>
      <x:c r="G2" s="8" t="n">
        <x:f>IFERROR(VLOOKUP(A2,'GiaCuoc'!$A$2:$B$501,2,FALSE),"Không khớp")</x:f>
        <x:v>20000</x:v>
      </x:c>
    </x:row>
    <x:row r="3" ht="24" customHeight="1">
      <x:c r="A3" s="2" t="str">
        <x:v> FM000001 </x:v>
      </x:c>
      <x:c r="B3" s="2" t="str">
        <x:f>TRIM(CLEAN(SUBSTITUTE(A3,CHAR(160)," ")))</x:f>
        <x:v>FM000001</x:v>
      </x:c>
      <x:c r="C3" s="15" t="n">
        <x:f>IF(B3="","Thiếu mã",IFERROR(VLOOKUP(B3,'GiaCuoc'!$A$2:$B$501,2,FALSE),"Cần kiểm tra mã"))</x:f>
        <x:v>20000</x:v>
      </x:c>
      <x:c r="D3" s="15" t="n">
        <x:v>20000</x:v>
      </x:c>
      <x:c r="E3" s="28" t="str">
        <x:f>IF(C3=D3,"Đạt","Chưa đạt")</x:f>
        <x:v>Đạt</x:v>
      </x:c>
      <x:c r="F3" s="2" t="str">
        <x:v>Khoảng trắng đầu cuối</x:v>
      </x:c>
      <x:c r="G3" s="8" t="str">
        <x:f>IFERROR(VLOOKUP(A3,'GiaCuoc'!$A$2:$B$501,2,FALSE),"Không khớp")</x:f>
        <x:v>Không khớp</x:v>
      </x:c>
    </x:row>
    <x:row r="4" ht="24" customHeight="1">
      <x:c r="A4" s="2" t="str">
        <x:v>FM000001 </x:v>
      </x:c>
      <x:c r="B4" s="2" t="str">
        <x:f>TRIM(CLEAN(SUBSTITUTE(A4,CHAR(160)," ")))</x:f>
        <x:v>FM000001</x:v>
      </x:c>
      <x:c r="C4" s="15" t="n">
        <x:f>IF(B4="","Thiếu mã",IFERROR(VLOOKUP(B4,'GiaCuoc'!$A$2:$B$501,2,FALSE),"Cần kiểm tra mã"))</x:f>
        <x:v>20000</x:v>
      </x:c>
      <x:c r="D4" s="15" t="n">
        <x:v>20000</x:v>
      </x:c>
      <x:c r="E4" s="28" t="str">
        <x:f>IF(C4=D4,"Đạt","Chưa đạt")</x:f>
        <x:v>Đạt</x:v>
      </x:c>
      <x:c r="F4" s="2" t="str">
        <x:v>Khoảng trắng CHAR(160)</x:v>
      </x:c>
      <x:c r="G4" s="8" t="str">
        <x:f>IFERROR(VLOOKUP(A4,'GiaCuoc'!$A$2:$B$501,2,FALSE),"Không khớp")</x:f>
        <x:v>Không khớp</x:v>
      </x:c>
    </x:row>
    <x:row r="5" ht="24" customHeight="1">
      <x:c r="A5" s="2" t="str">
        <x:v>	FM000001</x:v>
      </x:c>
      <x:c r="B5" s="2" t="str">
        <x:f>TRIM(CLEAN(SUBSTITUTE(A5,CHAR(160)," ")))</x:f>
        <x:v>FM000001</x:v>
      </x:c>
      <x:c r="C5" s="15" t="n">
        <x:f>IF(B5="","Thiếu mã",IFERROR(VLOOKUP(B5,'GiaCuoc'!$A$2:$B$501,2,FALSE),"Cần kiểm tra mã"))</x:f>
        <x:v>20000</x:v>
      </x:c>
      <x:c r="D5" s="15" t="n">
        <x:v>20000</x:v>
      </x:c>
      <x:c r="E5" s="28" t="str">
        <x:f>IF(C5=D5,"Đạt","Chưa đạt")</x:f>
        <x:v>Đạt</x:v>
      </x:c>
      <x:c r="F5" s="2" t="str">
        <x:v>Tab CHAR(9)</x:v>
      </x:c>
      <x:c r="G5" s="8" t="str">
        <x:f>IFERROR(VLOOKUP(A5,'GiaCuoc'!$A$2:$B$501,2,FALSE),"Không khớp")</x:f>
        <x:v>Không khớp</x:v>
      </x:c>
    </x:row>
    <x:row r="6" ht="24" customHeight="1">
      <x:c r="A6" s="2" t="str">
        <x:v>FM000001@</x:v>
      </x:c>
      <x:c r="B6" s="2" t="str">
        <x:f>TRIM(CLEAN(SUBSTITUTE(A6,CHAR(160)," ")))</x:f>
        <x:v>FM000001@</x:v>
      </x:c>
      <x:c r="C6" s="15" t="str">
        <x:f>IF(B6="","Thiếu mã",IFERROR(VLOOKUP(B6,'GiaCuoc'!$A$2:$B$501,2,FALSE),"Cần kiểm tra mã"))</x:f>
        <x:v>Cần kiểm tra mã</x:v>
      </x:c>
      <x:c r="D6" s="15" t="str">
        <x:v>Cần kiểm tra mã</x:v>
      </x:c>
      <x:c r="E6" s="28" t="str">
        <x:f>IF(C6=D6,"Đạt","Chưa đạt")</x:f>
        <x:v>Đạt</x:v>
      </x:c>
      <x:c r="F6" s="2" t="str">
        <x:v>Ký tự @ chưa được cho phép</x:v>
      </x:c>
      <x:c r="G6" s="8" t="str">
        <x:f>IFERROR(VLOOKUP(A6,'GiaCuoc'!$A$2:$B$501,2,FALSE),"Không khớp")</x:f>
        <x:v>Không khớp</x:v>
      </x:c>
    </x:row>
    <x:row r="7" ht="24" customHeight="1">
      <x:c r="A7" s="2" t="str">
        <x:v>FM999999</x:v>
      </x:c>
      <x:c r="B7" s="2" t="str">
        <x:f>TRIM(CLEAN(SUBSTITUTE(A7,CHAR(160)," ")))</x:f>
        <x:v>FM999999</x:v>
      </x:c>
      <x:c r="C7" s="15" t="str">
        <x:f>IF(B7="","Thiếu mã",IFERROR(VLOOKUP(B7,'GiaCuoc'!$A$2:$B$501,2,FALSE),"Cần kiểm tra mã"))</x:f>
        <x:v>Cần kiểm tra mã</x:v>
      </x:c>
      <x:c r="D7" s="15" t="str">
        <x:v>Cần kiểm tra mã</x:v>
      </x:c>
      <x:c r="E7" s="28" t="str">
        <x:f>IF(C7=D7,"Đạt","Chưa đạt")</x:f>
        <x:v>Đạt</x:v>
      </x:c>
      <x:c r="F7" s="2" t="str">
        <x:v>Mã không có trong bảng</x:v>
      </x:c>
      <x:c r="G7" s="8" t="str">
        <x:f>IFERROR(VLOOKUP(A7,'GiaCuoc'!$A$2:$B$501,2,FALSE),"Không khớp")</x:f>
        <x:v>Không khớp</x:v>
      </x:c>
    </x:row>
    <x:row r="8" ht="24" customHeight="1">
      <x:c r="A8" s="2" t="str"/>
      <x:c r="B8" s="2" t="str">
        <x:f>TRIM(CLEAN(SUBSTITUTE(A8,CHAR(160)," ")))</x:f>
      </x:c>
      <x:c r="C8" s="15" t="str">
        <x:f>IF(B8="","Thiếu mã",IFERROR(VLOOKUP(B8,'GiaCuoc'!$A$2:$B$501,2,FALSE),"Cần kiểm tra mã"))</x:f>
        <x:v>Thiếu mã</x:v>
      </x:c>
      <x:c r="D8" s="15" t="str">
        <x:v>Thiếu mã</x:v>
      </x:c>
      <x:c r="E8" s="28" t="str">
        <x:f>IF(C8=D8,"Đạt","Chưa đạt")</x:f>
        <x:v>Đạt</x:v>
      </x:c>
      <x:c r="F8" s="2" t="str">
        <x:v>Ô mã trống</x:v>
      </x:c>
      <x:c r="G8" s="8" t="str">
        <x:f>IFERROR(VLOOKUP(A8,'GiaCuoc'!$A$2:$B$501,2,FALSE),"Không khớp")</x:f>
        <x:v>Không khớp</x:v>
      </x:c>
    </x:row>
    <x:row r="9" ht="24" customHeight="1">
      <x:c r="A9" s="2" t="str">
        <x:v>FM000001​</x:v>
      </x:c>
      <x:c r="B9" s="2" t="str">
        <x:f>TRIM(CLEAN(SUBSTITUTE(A9,CHAR(160)," ")))</x:f>
        <x:v>FM000001​</x:v>
      </x:c>
      <x:c r="C9" s="15" t="str">
        <x:f>IF(B9="","Thiếu mã",IFERROR(VLOOKUP(B9,'GiaCuoc'!$A$2:$B$501,2,FALSE),"Cần kiểm tra mã"))</x:f>
        <x:v>Cần kiểm tra mã</x:v>
      </x:c>
      <x:c r="D9" s="15" t="str">
        <x:v>Cần kiểm tra mã</x:v>
      </x:c>
      <x:c r="E9" s="28" t="str">
        <x:f>IF(C9=D9,"Đạt","Chưa đạt")</x:f>
        <x:v>Đạt</x:v>
      </x:c>
      <x:c r="F9" s="2" t="str">
        <x:v>Ký tự zero width chưa được làm sạch</x:v>
      </x:c>
      <x:c r="G9" s="8" t="str">
        <x:f>IFERROR(VLOOKUP(A9,'GiaCuoc'!$A$2:$B$501,2,FALSE),"Không khớp")</x:f>
        <x:v>Không khớp</x:v>
      </x:c>
    </x:row>
    <x:row r="10" ht="24" customHeight="1">
      <x:c r="A10" s="2" t="str">
        <x:v>FM000250</x:v>
      </x:c>
      <x:c r="B10" s="2" t="str">
        <x:f>TRIM(CLEAN(SUBSTITUTE(A10,CHAR(160)," ")))</x:f>
        <x:v>FM000250</x:v>
      </x:c>
      <x:c r="C10" s="15" t="n">
        <x:f>IF(B10="","Thiếu mã",IFERROR(VLOOKUP(B10,'GiaCuoc'!$A$2:$B$501,2,FALSE),"Cần kiểm tra mã"))</x:f>
        <x:v>30000</x:v>
      </x:c>
      <x:c r="D10" s="15" t="n">
        <x:v>30000</x:v>
      </x:c>
      <x:c r="E10" s="28" t="str">
        <x:f>IF(C10=D10,"Đạt","Chưa đạt")</x:f>
        <x:v>Đạt</x:v>
      </x:c>
      <x:c r="F10" s="2" t="str">
        <x:v>Mã giữa bảng</x:v>
      </x:c>
      <x:c r="G10" s="8" t="n">
        <x:f>IFERROR(VLOOKUP(A10,'GiaCuoc'!$A$2:$B$501,2,FALSE),"Không khớp")</x:f>
        <x:v>30000</x:v>
      </x:c>
    </x:row>
    <x:row r="11" ht="24" customHeight="1">
      <x:c r="A11" s="2" t="str">
        <x:v>FM000500</x:v>
      </x:c>
      <x:c r="B11" s="2" t="str">
        <x:f>TRIM(CLEAN(SUBSTITUTE(A11,CHAR(160)," ")))</x:f>
        <x:v>FM000500</x:v>
      </x:c>
      <x:c r="C11" s="15" t="n">
        <x:f>IF(B11="","Thiếu mã",IFERROR(VLOOKUP(B11,'GiaCuoc'!$A$2:$B$501,2,FALSE),"Cần kiểm tra mã"))</x:f>
        <x:v>55000</x:v>
      </x:c>
      <x:c r="D11" s="15" t="n">
        <x:v>55000</x:v>
      </x:c>
      <x:c r="E11" s="28" t="str">
        <x:f>IF(C11=D11,"Đạt","Chưa đạt")</x:f>
        <x:v>Đạt</x:v>
      </x:c>
      <x:c r="F11" s="2" t="str">
        <x:v>Mã cuối bảng</x:v>
      </x:c>
      <x:c r="G11" s="8" t="n">
        <x:f>IFERROR(VLOOKUP(A11,'GiaCuoc'!$A$2:$B$501,2,FALSE),"Không khớp")</x:f>
        <x:v>55000</x:v>
      </x:c>
    </x:row>
    <x:row r="14">
      <x:c r="A14" t="str">
        <x:v>IFERROR trả cảnh báo, không tự xóa ký tự sai hoặc tạo mã còn thiếu.</x:v>
      </x:c>
    </x:row>
    <x:row r="15">
      <x:c r="A15" t="str">
        <x:v>TRIM/CLEAN không xóa mọi ký tự Unicode. Không tự bỏ @ hoặc zero width khi chưa xác minh mã.</x:v>
      </x:c>
    </x:row>
  </x:sheetData>
  <x:pageMargins left="0.7" right="0.7" top="0.75" bottom="0.75" header="0.3" footer="0.3"/>
  <x:tableParts count="1">
    <x:tablePart xmlns:r="http://schemas.openxmlformats.org/officeDocument/2006/relationships" r:id="R6f68f9c6439a42cf"/>
  </x:tableParts>
</x:worksheet>
</file>